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1.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xml" ContentType="application/vnd.openxmlformats-officedocument.spreadsheetml.pivotTable+xml"/>
  <Override PartName="/xl/drawings/drawing9.xml" ContentType="application/vnd.openxmlformats-officedocument.drawing+xml"/>
  <Override PartName="/xl/charts/chartEx6.xml" ContentType="application/vnd.ms-office.chartex+xml"/>
  <Override PartName="/xl/charts/style15.xml" ContentType="application/vnd.ms-office.chartstyle+xml"/>
  <Override PartName="/xl/charts/colors15.xml" ContentType="application/vnd.ms-office.chartcolorstyle+xml"/>
  <Override PartName="/xl/pivotTables/pivotTable3.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Ex7.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12.xml" ContentType="application/vnd.openxmlformats-officedocument.drawing+xml"/>
  <Override PartName="/xl/charts/chartEx8.xml" ContentType="application/vnd.ms-office.chartex+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7.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C:\Users\georg\Desktop\Vephla data school assignments\TASK 21\"/>
    </mc:Choice>
  </mc:AlternateContent>
  <xr:revisionPtr revIDLastSave="0" documentId="13_ncr:1_{2A2D2D56-D2EC-46FD-8C61-489153802B54}" xr6:coauthVersionLast="47" xr6:coauthVersionMax="47" xr10:uidLastSave="{00000000-0000-0000-0000-000000000000}"/>
  <bookViews>
    <workbookView xWindow="-108" yWindow="492" windowWidth="23256" windowHeight="12576" tabRatio="749" activeTab="1" xr2:uid="{00000000-000D-0000-FFFF-FFFF00000000}"/>
  </bookViews>
  <sheets>
    <sheet name="Task" sheetId="15" r:id="rId1"/>
    <sheet name="Full Dashboard" sheetId="31" r:id="rId2"/>
    <sheet name="Dashboard Replication Sketch" sheetId="33" r:id="rId3"/>
    <sheet name="Dashboard Replication" sheetId="34" r:id="rId4"/>
    <sheet name="Recommendations Board" sheetId="40" r:id="rId5"/>
    <sheet name="Post Analysis Board" sheetId="32" r:id="rId6"/>
    <sheet name="In Analysis Board" sheetId="19" r:id="rId7"/>
    <sheet name="Pre Analysis Board" sheetId="18" r:id="rId8"/>
    <sheet name="Dashboard Sketch" sheetId="30" r:id="rId9"/>
    <sheet name="Transaction By Amount" sheetId="29" r:id="rId10"/>
    <sheet name="Sales by Category" sheetId="25" r:id="rId11"/>
    <sheet name="Top Ship Cities" sheetId="28" r:id="rId12"/>
    <sheet name="Data (2)" sheetId="17" r:id="rId13"/>
    <sheet name="Cities Performance" sheetId="27" r:id="rId14"/>
    <sheet name="States performance" sheetId="26" r:id="rId15"/>
    <sheet name="Sales By Region" sheetId="20" r:id="rId16"/>
    <sheet name="Sales Trend" sheetId="24" r:id="rId17"/>
    <sheet name="Top customers" sheetId="22" r:id="rId18"/>
    <sheet name="Sales By Salesperson" sheetId="21" r:id="rId19"/>
    <sheet name="Pivot Table Diagram" sheetId="4" r:id="rId20"/>
  </sheets>
  <definedNames>
    <definedName name="_xlnm._FilterDatabase" localSheetId="12" hidden="1">'Data (2)'!$A$1:$Z$370</definedName>
    <definedName name="_xlchart.v1.0" hidden="1">'Sales by Category'!$D$4:$D$9</definedName>
    <definedName name="_xlchart.v1.1" hidden="1">'Sales by Category'!$E$3</definedName>
    <definedName name="_xlchart.v1.11" hidden="1">'Sales by Category'!$D$4:$D$9</definedName>
    <definedName name="_xlchart.v1.12" hidden="1">'Sales by Category'!$E$3</definedName>
    <definedName name="_xlchart.v1.13" hidden="1">'Sales by Category'!$E$4:$E$9</definedName>
    <definedName name="_xlchart.v1.16" hidden="1">'Sales by Category'!$D$4:$D$9</definedName>
    <definedName name="_xlchart.v1.17" hidden="1">'Sales by Category'!$E$3</definedName>
    <definedName name="_xlchart.v1.18" hidden="1">'Sales by Category'!$E$4:$E$9</definedName>
    <definedName name="_xlchart.v1.2" hidden="1">'Sales by Category'!$E$4:$E$9</definedName>
    <definedName name="_xlchart.v2.14" hidden="1">'Top Ship Cities'!$P$3:$P$8</definedName>
    <definedName name="_xlchart.v2.15" hidden="1">'Top Ship Cities'!$Q$3:$Q$8</definedName>
    <definedName name="_xlchart.v2.19" hidden="1">'Top Ship Cities'!$P$3:$P$8</definedName>
    <definedName name="_xlchart.v2.20" hidden="1">'Top Ship Cities'!$Q$3:$Q$8</definedName>
    <definedName name="_xlchart.v5.10" hidden="1">'States performance'!$E$4:$E$36</definedName>
    <definedName name="_xlchart.v5.21" hidden="1">'States performance'!$D$3</definedName>
    <definedName name="_xlchart.v5.22" hidden="1">'States performance'!$D$4:$D$36</definedName>
    <definedName name="_xlchart.v5.23" hidden="1">'States performance'!$E$3</definedName>
    <definedName name="_xlchart.v5.24" hidden="1">'States performance'!$E$4:$E$36</definedName>
    <definedName name="_xlchart.v5.3" hidden="1">'States performance'!$D$3</definedName>
    <definedName name="_xlchart.v5.4" hidden="1">'States performance'!$D$4:$D$36</definedName>
    <definedName name="_xlchart.v5.5" hidden="1">'States performance'!$E$3</definedName>
    <definedName name="_xlchart.v5.6" hidden="1">'States performance'!$E$4:$E$36</definedName>
    <definedName name="_xlchart.v5.7" hidden="1">'States performance'!$D$3</definedName>
    <definedName name="_xlchart.v5.8" hidden="1">'States performance'!$D$4:$D$36</definedName>
    <definedName name="_xlchart.v5.9" hidden="1">'States performance'!$E$3</definedName>
    <definedName name="Slicer_Product_Name">#N/A</definedName>
    <definedName name="Slicer_Salesperson">#N/A</definedName>
  </definedNames>
  <calcPr calcId="191029" iterate="1"/>
  <pivotCaches>
    <pivotCache cacheId="0"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<sst xmlns="http://schemas.openxmlformats.org/spreadsheetml/2006/main" count="5983" uniqueCount="242">
  <si>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</si>
  <si>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</si>
  <si>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</si>
  <si>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</si>
  <si>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</si>
  <si>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</si>
  <si>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</si>
  <si>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</si>
  <si>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</si>
  <si>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</si>
  <si>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</si>
  <si>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</si>
  <si>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</si>
  <si>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</si>
  <si>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</si>
  <si>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</si>
  <si>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</si>
  <si>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</si>
  <si>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</si>
  <si>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</si>
  <si>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</si>
  <si>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</si>
  <si>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</si>
  <si>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</si>
  <si>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</si>
  <si>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</si>
  <si>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</si>
  <si>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</si>
  <si>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</si>
  <si>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</si>
  <si>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</si>
  <si>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</si>
  <si>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</si>
  <si>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</si>
  <si>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</si>
  <si>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</si>
  <si>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</si>
  <si>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</si>
  <si>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</si>
  <si>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</si>
  <si>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</si>
  <si>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</si>
  <si>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</si>
  <si>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</si>
  <si>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</si>
  <si>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</si>
  <si>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</si>
  <si>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</si>
  <si>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</si>
  <si>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</si>
  <si>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</si>
  <si>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</si>
  <si>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</si>
  <si>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</si>
  <si>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</si>
  <si>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</si>
  <si>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</si>
  <si>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</si>
  <si>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</si>
  <si>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</si>
  <si>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</si>
  <si>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</si>
  <si>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</si>
  <si>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</si>
  <si>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</si>
  <si>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</si>
  <si>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</si>
  <si>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</si>
  <si>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</si>
  <si>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</si>
  <si>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</si>
  <si>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</si>
  <si>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</si>
  <si>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</si>
  <si>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</si>
  <si>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</si>
  <si>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</si>
  <si>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</si>
  <si>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</si>
  <si>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</si>
  <si>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</si>
  <si>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</si>
  <si>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</si>
  <si>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</si>
  <si>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</si>
  <si>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</si>
  <si>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</si>
  <si>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</si>
  <si>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</si>
  <si>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</si>
  <si>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</si>
  <si>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</si>
  <si>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</si>
  <si>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</si>
  <si>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</si>
  <si>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</si>
  <si>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</si>
  <si>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</si>
  <si>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</si>
  <si>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</si>
  <si>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</si>
  <si>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</si>
  <si>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</si>
  <si>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</si>
  <si>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</si>
  <si>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</si>
  <si>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</si>
  <si>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</si>
  <si>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</si>
  <si>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</si>
  <si>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</si>
  <si>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</si>
  <si>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</si>
  <si>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</si>
  <si>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</si>
  <si>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</si>
  <si>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</si>
  <si>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</si>
  <si>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</si>
  <si>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</si>
  <si>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</si>
  <si>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</si>
  <si>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</si>
  <si>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</si>
  <si>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</si>
  <si>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</si>
  <si>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</si>
  <si>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</si>
  <si>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</si>
  <si>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</si>
  <si>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</si>
  <si>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</si>
  <si>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</si>
  <si>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</si>
  <si>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</si>
  <si>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</si>
  <si>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</si>
  <si>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</si>
  <si>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</si>
  <si>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</si>
  <si>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</si>
  <si>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</si>
  <si>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</si>
  <si>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</si>
  <si>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</si>
  <si>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</si>
  <si>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</si>
  <si>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</si>
  <si>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</si>
  <si>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</si>
  <si>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</si>
  <si>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</si>
  <si>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</si>
  <si>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</si>
  <si>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</si>
  <si>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</si>
  <si>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</si>
  <si>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</si>
  <si>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</si>
  <si>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</si>
  <si>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</si>
  <si>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</si>
  <si>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</si>
  <si>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</si>
  <si>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</si>
  <si>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</si>
  <si>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</si>
  <si>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</si>
  <si>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</si>
  <si>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</si>
  <si>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</si>
  <si>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</si>
  <si>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</si>
  <si>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</si>
  <si>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</si>
  <si>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</si>
  <si>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</si>
  <si>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</si>
  <si>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
  </si>
  <si>
    <t>Oct</t>
  </si>
  <si>
    <t>Nov</t>
  </si>
  <si>
    <t>Dec</t>
  </si>
  <si>
    <t>Sales Category</t>
  </si>
  <si>
    <t>States performance by revenue</t>
  </si>
  <si>
    <t>States</t>
  </si>
  <si>
    <t>10-1010</t>
  </si>
  <si>
    <t>1010-2010</t>
  </si>
  <si>
    <t>2010-3010</t>
  </si>
  <si>
    <t>3010-4010</t>
  </si>
  <si>
    <t>4010-5010</t>
  </si>
  <si>
    <t>6010-7010</t>
  </si>
  <si>
    <t>7010-8010</t>
  </si>
  <si>
    <t>Count of Revenue</t>
  </si>
  <si>
    <t>Analytics</t>
  </si>
  <si>
    <t>Low</t>
  </si>
  <si>
    <t>Use this dataset as a baseline to build a simple forecast for 2015, and track actuals against it monthly to catch deviations early.</t>
  </si>
  <si>
    <t>Twelve months of trend, regional, and product data are now available in a single, consolidated dashboard.</t>
  </si>
  <si>
    <t>Data-Driven Forecasting</t>
  </si>
  <si>
    <t>Planning</t>
  </si>
  <si>
    <t>Medium</t>
  </si>
  <si>
    <t>Investigate causes of volatility (stock availability, promotional timing) and build a more consistent promotional calendar to reduce large swings in monthly revenue.</t>
  </si>
  <si>
    <t>The sales trend line shows sharp month-to-month swings (e.g., a rise to $55.6k in June followed by a drop to $27.3k in July).</t>
  </si>
  <si>
    <t>Sales Volatility</t>
  </si>
  <si>
    <t>Strategy</t>
  </si>
  <si>
    <t>Segment low-performing states into a targeted expansion plan; test a small-scale regional promotion in 2-3 lower-revenue states before a full rollout.</t>
  </si>
  <si>
    <t>The states performance map shows a wide revenue range ($15,365.50–$67,180.50), with several states clustered at the lower end.</t>
  </si>
  <si>
    <t>State-Level Spread</t>
  </si>
  <si>
    <t>Regional Ops</t>
  </si>
  <si>
    <t>Investigate local demand drivers in Chicago and Memphis (pricing, product mix, competition) before committing further marketing spend to these markets.</t>
  </si>
  <si>
    <t>Chicago ($41,095.01) and Memphis ($43,713.00) trail behind the top-performing ship cities on revenue.</t>
  </si>
  <si>
    <t>Underperforming Cities</t>
  </si>
  <si>
    <t>Logistics</t>
  </si>
  <si>
    <t>Prioritize logistics and delivery investment in the New York corridor. Evaluate a regional distribution point near Portland/Milwaukee to cut shipping costs and delivery times.</t>
  </si>
  <si>
    <t>New York is both the top state ($67.2k) and top ship city ($67,180.50); Portland and Milwaukee are distant secondary hubs.</t>
  </si>
  <si>
    <t>Geographic Concentration</t>
  </si>
  <si>
    <t>Product Mgmt</t>
  </si>
  <si>
    <t>High</t>
  </si>
  <si>
    <t>Protect Beverages' supply chain and stock levels as the core revenue driver. Cross-promote Sauces and Jams/Preserves in bundles with Beverages to grow mid-tier product lines.</t>
  </si>
  <si>
    <t>Product Strategy</t>
  </si>
  <si>
    <t>Sales Team</t>
  </si>
  <si>
    <t>Have Nancy Freehafer mentor lower-performing reps (Jan Kotas, Robert Zare, Michael Neipper). Review territory/account assignment to see if the gap is skill-based or opportunity-based.</t>
  </si>
  <si>
    <t>Sales Team Performance</t>
  </si>
  <si>
    <t>Account Mgmt</t>
  </si>
  <si>
    <t>Set up a formal retention/loyalty plan for Company D to protect this revenue stream, while actively diversifying the customer base to reduce reliance on one account.</t>
  </si>
  <si>
    <t>Company D is the top customer at $67.2k, a disproportionately large share of total revenue for a single account.</t>
  </si>
  <si>
    <t>Customer Concentration</t>
  </si>
  <si>
    <t>Increase inventory allocation and marketing spend in the North to defend its lead. Run a targeted growth campaign in the lowest-performing region (South) to close the revenue gap.</t>
  </si>
  <si>
    <t>Regional Performance</t>
  </si>
  <si>
    <t>Marketing</t>
  </si>
  <si>
    <t>Launch promotions/bundle deals in Feb, Jul, and Nov to smooth demand troughs. Replicate December's marketing approach earlier in Q4 (Oct) to build momentum into peak season.</t>
  </si>
  <si>
    <t>December is the peak month ($66.7k); sharp dips occur in February and November, with a mid-year dip in July.</t>
  </si>
  <si>
    <t>Seasonal Sales</t>
  </si>
  <si>
    <t>Focus Area</t>
  </si>
  <si>
    <t>Priority</t>
  </si>
  <si>
    <t>Theme</t>
  </si>
  <si>
    <t>2014 Performance Analysis  |  Strategic Recommendations Derived From Dashboard Insights</t>
  </si>
  <si>
    <t>De Angels Super Mart — Recommendations Board</t>
  </si>
  <si>
    <t>The North region leads with $141.7k in sales which is roughly 35% more than the next-closest region shown on the pie chart.</t>
  </si>
  <si>
    <t>Insights</t>
  </si>
  <si>
    <t>Recommendations</t>
  </si>
  <si>
    <t>Nancy Freehafer leads all salespeople at $74,252.34 which is more than double Jan Kotas's $16,350.50, the lowest performer.</t>
  </si>
  <si>
    <t>Beverages dominate product revenue ($110.6k) which is nearly 60% more than Sauces ($69k), the second-highest product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</si>
</sst>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mm/dd/yy;@"/>
    <numFmt numFmtId="166" formatCode="&quot;$&quot;#,##0.00"/>
  </numFmts>
  <fonts count="1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1"/>
      <name val="Calibri"/>
      <family val="2"/>
      <charset val="1"/>
    </font>
    <font>
      <i/>
      <sz val="9"/>
      <color rgb="FF595959"/>
      <name val="Arial"/>
      <family val="2"/>
    </font>
    <font>
      <i/>
      <sz val="10"/>
      <color rgb="FF595959"/>
      <name val="Arial"/>
      <family val="2"/>
    </font>
    <font>
      <b/>
      <sz val="10"/>
      <color rgb="FFFFFFFF"/>
      <name val="Arial"/>
      <family val="2"/>
    </font>
    <font>
      <sz val="10"/>
      <color rgb="FF1F1F1F"/>
      <name val="Arial"/>
      <family val="2"/>
    </font>
    <font>
      <b/>
      <sz val="11"/>
      <color rgb="FFFFFFFF"/>
      <name val="Arial"/>
      <family val="2"/>
    </font>
    <font>
      <i/>
      <sz val="10.5"/>
      <color rgb="FF2E5A8C"/>
      <name val="Arial"/>
      <family val="2"/>
    </font>
    <font>
      <b/>
      <sz val="18"/>
      <color rgb="FFFFFFFF"/>
      <name val="Arial"/>
      <family val="2"/>
    </font>
    <font>
      <i/>
      <sz val="10.5"/>
      <color theme="0"/>
      <name val="Arial"/>
      <family val="2"/>
    </font>
    <font>
      <b/>
      <sz val="10.5"/>
      <color rgb="FF235733"/>
      <name val="Arial"/>
      <family val="2"/>
    </font>
  </fonts>
  <fills count="1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1E8449"/>
        <bgColor rgb="FF008080"/>
      </patternFill>
    </fill>
    <fill>
      <patternFill patternType="solid">
        <fgColor rgb="FFFFFFFF"/>
        <bgColor rgb="FFEEF4FB"/>
      </patternFill>
    </fill>
    <fill>
      <patternFill patternType="solid">
        <fgColor rgb="FFB7950B"/>
        <bgColor rgb="FFFF9900"/>
      </patternFill>
    </fill>
    <fill>
      <patternFill patternType="solid">
        <fgColor rgb="FFC0392B"/>
        <bgColor rgb="FF993366"/>
      </patternFill>
    </fill>
    <fill>
      <patternFill patternType="solid">
        <fgColor rgb="FF235733"/>
        <bgColor rgb="FF1F1F1F"/>
      </patternFill>
    </fill>
    <fill>
      <patternFill patternType="solid">
        <fgColor rgb="FF36864F"/>
        <bgColor rgb="FFFFFFFF"/>
      </patternFill>
    </fill>
    <fill>
      <patternFill patternType="solid">
        <fgColor rgb="FF36864F"/>
        <bgColor rgb="FF4472A8"/>
      </patternFill>
    </fill>
    <fill>
      <patternFill patternType="solid">
        <fgColor rgb="FFD8F0D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164" fontId="1" fillId="0" borderId="0" applyFont="0" applyFill="0" applyBorder="0" applyAlignment="0" applyProtection="0"/>
    <xf numFmtId="0" fontId="3" fillId="0" borderId="0" applyNumberFormat="0" applyFill="0" applyBorder="0" applyAlignment="0" applyProtection="0"/>
    <xf numFmtId="0" fontId="6" fillId="0" borderId="0"/>
  </cellStyleXfs>
  <cellXfs count="29">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0" fontId="2" fillId="5" borderId="2" xfId="0" applyFont="1" applyFill="1" applyBorder="1"/>
    <xf numFmtId="0" fontId="5" fillId="4" borderId="3" xfId="0" applyFont="1" applyFill="1" applyBorder="1"/>
    <xf numFmtId="166" fontId="0" fillId="0" borderId="0" xfId="0" applyNumberFormat="1" applyAlignment="1">
      <alignment horizontal="left"/>
    </xf>
    <xf numFmtId="0" fontId="6" fillId="0" borderId="0" xfId="3"/>
    <xf numFmtId="0" fontId="8" fillId="0" borderId="4" xfId="3" applyFont="1" applyBorder="1" applyAlignment="1">
      <alignment horizontal="center" vertical="center" wrapText="1"/>
    </xf>
    <xf numFmtId="0" fontId="9" fillId="6" borderId="4" xfId="3" applyFont="1" applyFill="1" applyBorder="1" applyAlignment="1">
      <alignment horizontal="center" vertical="center"/>
    </xf>
    <xf numFmtId="0" fontId="10" fillId="7" borderId="4" xfId="3" applyFont="1" applyFill="1" applyBorder="1" applyAlignment="1">
      <alignment horizontal="left" vertical="top" wrapText="1" indent="1"/>
    </xf>
    <xf numFmtId="0" fontId="9" fillId="8" borderId="4" xfId="3" applyFont="1" applyFill="1" applyBorder="1" applyAlignment="1">
      <alignment horizontal="center" vertical="center"/>
    </xf>
    <xf numFmtId="0" fontId="9" fillId="9" borderId="4" xfId="3" applyFont="1" applyFill="1" applyBorder="1" applyAlignment="1">
      <alignment horizontal="center" vertical="center"/>
    </xf>
    <xf numFmtId="0" fontId="11" fillId="12" borderId="4" xfId="3" applyFont="1" applyFill="1" applyBorder="1" applyAlignment="1">
      <alignment horizontal="center" vertical="center" wrapText="1"/>
    </xf>
    <xf numFmtId="0" fontId="15" fillId="7" borderId="4" xfId="3" applyFont="1" applyFill="1" applyBorder="1" applyAlignment="1">
      <alignment horizontal="left" vertical="top" wrapText="1" indent="1"/>
    </xf>
    <xf numFmtId="0" fontId="15" fillId="13" borderId="4" xfId="3" applyFont="1" applyFill="1" applyBorder="1" applyAlignment="1">
      <alignment horizontal="left" vertical="top" wrapText="1" indent="1"/>
    </xf>
    <xf numFmtId="0" fontId="10" fillId="13" borderId="4" xfId="3" applyFont="1" applyFill="1" applyBorder="1" applyAlignment="1">
      <alignment horizontal="left" vertical="top" wrapText="1" indent="1"/>
    </xf>
    <xf numFmtId="0" fontId="13" fillId="10" borderId="0" xfId="3" applyFont="1" applyFill="1" applyAlignment="1">
      <alignment horizontal="left" vertical="center" indent="1"/>
    </xf>
    <xf numFmtId="0" fontId="14" fillId="11" borderId="0" xfId="3" applyFont="1" applyFill="1" applyAlignment="1">
      <alignment horizontal="left" vertical="center" indent="1"/>
    </xf>
    <xf numFmtId="0" fontId="12" fillId="11" borderId="0" xfId="3" applyFont="1" applyFill="1" applyAlignment="1">
      <alignment horizontal="left" vertical="center" indent="1"/>
    </xf>
    <xf numFmtId="0" fontId="7" fillId="0" borderId="0" xfId="3" applyFont="1" applyAlignment="1">
      <alignment horizontal="left" vertical="center" wrapText="1"/>
    </xf>
  </cellXfs>
  <cellStyles count="4">
    <cellStyle name="Currency" xfId="1" builtinId="4"/>
    <cellStyle name="Hyperlink" xfId="2" builtinId="8"/>
    <cellStyle name="Normal" xfId="0" builtinId="0"/>
    <cellStyle name="Normal 2" xfId="3" xr:uid="{C95F7BC3-58C8-4181-B544-213395B20A30}"/>
  </cellStyles>
  <dxfs count="15">
    <dxf>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65" formatCode="mm/dd/yy;@"/>
    </dxf>
    <dxf>
      <numFmt numFmtId="165" formatCode="mm/dd/yy;@"/>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
      <font>
        <b/>
        <color theme="1"/>
      </font>
      <border>
        <bottom style="thin">
          <color theme="0" tint="-0.34998626667073579"/>
        </bottom>
        <vertical/>
        <horizontal/>
      </border>
    </dxf>
    <dxf>
      <font>
        <color theme="1"/>
      </font>
      <border diagonalUp="0" diagonalDown="0">
        <left/>
        <right/>
        <top/>
        <bottom/>
        <vertical/>
        <horizontal/>
      </border>
    </dxf>
    <dxf>
      <font>
        <b/>
        <color theme="1"/>
      </font>
      <border>
        <bottom style="thin">
          <color theme="0" tint="-0.34998626667073579"/>
        </bottom>
        <vertical/>
        <horizontal/>
      </border>
    </dxf>
    <dxf>
      <font>
        <color theme="1"/>
      </font>
      <border diagonalUp="0" diagonalDown="0">
        <left/>
        <right/>
        <top/>
        <bottom/>
        <vertical/>
        <horizontal/>
      </border>
    </dxf>
    <dxf>
      <font>
        <b/>
        <color theme="1"/>
      </font>
      <border>
        <bottom style="thin">
          <color rgb="FF4F81BD"/>
        </bottom>
        <vertical/>
        <horizontal/>
      </border>
    </dxf>
    <dxf>
      <font>
        <b/>
        <i val="0"/>
        <sz val="8"/>
        <color theme="0"/>
        <name val="Century Gothic"/>
        <family val="2"/>
        <scheme val="none"/>
      </font>
      <fill>
        <patternFill patternType="none">
          <bgColor auto="1"/>
        </patternFill>
      </fill>
      <border diagonalUp="0" diagonalDown="0">
        <left/>
        <right/>
        <top/>
        <bottom/>
        <vertical/>
        <horizontal/>
      </border>
    </dxf>
    <dxf>
      <font>
        <color theme="4" tint="-0.499984740745262"/>
        <name val="Aptos"/>
        <family val="2"/>
        <scheme val="none"/>
      </font>
      <border>
        <bottom style="thin">
          <color rgb="FF4F81BD"/>
        </bottom>
        <vertical/>
        <horizontal/>
      </border>
    </dxf>
    <dxf>
      <font>
        <b/>
        <i val="0"/>
        <sz val="8"/>
        <color theme="0"/>
        <name val="Aptos"/>
        <family val="2"/>
        <scheme val="none"/>
      </font>
      <fill>
        <patternFill patternType="none">
          <bgColor auto="1"/>
        </patternFill>
      </fill>
      <border diagonalUp="0" diagonalDown="0">
        <left/>
        <right/>
        <top/>
        <bottom/>
        <vertical/>
        <horizontal/>
      </border>
    </dxf>
    <dxf>
      <font>
        <b/>
        <color theme="1"/>
      </font>
      <border>
        <bottom style="thin">
          <color rgb="FF4F81BD"/>
        </bottom>
        <vertical/>
        <horizontal/>
      </border>
    </dxf>
    <dxf>
      <font>
        <b/>
        <i val="0"/>
        <sz val="8"/>
        <color theme="0"/>
        <name val="Century Gothic"/>
        <family val="2"/>
        <scheme val="none"/>
      </font>
      <fill>
        <patternFill patternType="none">
          <bgColor auto="1"/>
        </patternFill>
      </fill>
      <border diagonalUp="0" diagonalDown="0">
        <left/>
        <right/>
        <top/>
        <bottom/>
        <vertical/>
        <horizontal/>
      </border>
    </dxf>
  </dxfs>
  <tableStyles count="5" defaultTableStyle="TableStyleMedium2" defaultPivotStyle="PivotStyleLight16">
    <tableStyle name="Da angels" pivot="0" table="0" count="10" xr9:uid="{F8B51E77-4657-4279-AFD8-34D949683FDA}">
      <tableStyleElement type="wholeTable" dxfId="14"/>
      <tableStyleElement type="headerRow" dxfId="13"/>
    </tableStyle>
    <tableStyle name="Da angels 2" pivot="0" table="0" count="10" xr9:uid="{4975281D-CD41-4422-AEE0-08605BC99D3D}">
      <tableStyleElement type="wholeTable" dxfId="12"/>
      <tableStyleElement type="headerRow" dxfId="11"/>
    </tableStyle>
    <tableStyle name="Da angels 3" pivot="0" table="0" count="10" xr9:uid="{5E83460D-2804-4D8B-AB24-CA1A84A5DA43}">
      <tableStyleElement type="wholeTable" dxfId="10"/>
      <tableStyleElement type="headerRow" dxfId="9"/>
    </tableStyle>
    <tableStyle name="SlicerStyleOther1 2" pivot="0" table="0" count="10" xr9:uid="{D9DCC506-220C-4B35-A280-DCCF59C25BA8}">
      <tableStyleElement type="wholeTable" dxfId="8"/>
      <tableStyleElement type="headerRow" dxfId="7"/>
    </tableStyle>
    <tableStyle name="SlicerStyleOther1 2 2" pivot="0" table="0" count="10" xr9:uid="{6AC0FA7F-628E-4F01-8574-78B63A5CE13E}">
      <tableStyleElement type="wholeTable" dxfId="6"/>
      <tableStyleElement type="headerRow" dxfId="5"/>
    </tableStyle>
  </tableStyles>
  <colors>
    <mruColors>
      <color rgb="FF7CCA94"/>
      <color rgb="FF235733"/>
      <color rgb="FFB8E2C5"/>
      <color rgb="FF46B067"/>
      <color rgb="FF36864F"/>
      <color rgb="FF2D7142"/>
      <color rgb="FFD8F0DF"/>
      <color rgb="FF9AD6AD"/>
      <color rgb="FF76C88F"/>
      <color rgb="FFCC0066"/>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235733"/>
            </patternFill>
          </fill>
          <border diagonalUp="0" diagonalDown="0">
            <left/>
            <right/>
            <top/>
            <bottom/>
            <vertical/>
            <horizontal/>
          </border>
        </dxf>
        <dxf>
          <font>
            <color theme="0"/>
          </font>
          <fill>
            <patternFill patternType="solid">
              <fgColor auto="1"/>
              <bgColor rgb="FF235733"/>
            </patternFill>
          </fill>
          <border diagonalUp="0" diagonalDown="0">
            <left/>
            <right/>
            <top/>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499984740745262"/>
            </patternFill>
          </fill>
          <border diagonalUp="0" diagonalDown="0">
            <left/>
            <right/>
            <top/>
            <bottom/>
            <vertical/>
            <horizontal/>
          </border>
        </dxf>
        <dxf>
          <font>
            <color theme="0"/>
          </font>
          <fill>
            <patternFill patternType="solid">
              <fgColor auto="1"/>
              <bgColor theme="4" tint="-0.499984740745262"/>
            </patternFill>
          </fill>
          <border diagonalUp="0" diagonalDown="0">
            <left/>
            <right/>
            <top/>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8"/>
            <color theme="0" tint="-4.9989318521683403E-2"/>
            <name val="Century Gothic"/>
            <family val="2"/>
            <scheme val="none"/>
          </font>
          <fill>
            <patternFill patternType="solid">
              <fgColor auto="1"/>
              <bgColor theme="0" tint="-0.24994659260841701"/>
            </patternFill>
          </fill>
          <border diagonalUp="0" diagonalDown="0">
            <left/>
            <right/>
            <top/>
            <bottom/>
            <vertical/>
            <horizontal/>
          </border>
        </dxf>
        <dxf>
          <font>
            <sz val="8"/>
            <color theme="0" tint="-4.9989318521683403E-2"/>
            <name val="Century Gothic"/>
            <family val="2"/>
            <scheme val="none"/>
          </font>
          <fill>
            <patternFill patternType="solid">
              <fgColor auto="1"/>
              <bgColor theme="0" tint="-0.24994659260841701"/>
            </patternFill>
          </fill>
          <border diagonalUp="0" diagonalDown="0">
            <left/>
            <right/>
            <top/>
            <bottom/>
            <vertical/>
            <horizontal/>
          </border>
        </dxf>
        <dxf>
          <font>
            <color rgb="FF828282"/>
          </font>
          <fill>
            <patternFill patternType="solid">
              <fgColor auto="1"/>
              <bgColor rgb="FFB8E2C5"/>
            </patternFill>
          </fill>
          <border>
            <left style="thin">
              <color rgb="FFCCCCCC"/>
            </left>
            <right style="thin">
              <color rgb="FFCCCCCC"/>
            </right>
            <top style="thin">
              <color rgb="FFCCCCCC"/>
            </top>
            <bottom style="thin">
              <color rgb="FFCCCCCC"/>
            </bottom>
            <vertical/>
            <horizontal/>
          </border>
        </dxf>
        <dxf>
          <font>
            <sz val="8"/>
            <color theme="0"/>
            <name val="Century Gothic"/>
            <family val="2"/>
            <scheme val="none"/>
          </font>
          <fill>
            <patternFill patternType="solid">
              <fgColor auto="1"/>
              <bgColor rgb="FF235733"/>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sz val="8"/>
            <color theme="0"/>
            <name val="Century Gothic"/>
            <family val="2"/>
            <scheme val="none"/>
          </font>
          <fill>
            <patternFill patternType="solid">
              <fgColor auto="1"/>
              <bgColor theme="0" tint="-0.14996795556505021"/>
            </patternFill>
          </fill>
          <border diagonalUp="0" diagonalDown="0">
            <left/>
            <right/>
            <top/>
            <bottom/>
            <vertical/>
            <horizontal/>
          </border>
        </dxf>
        <dxf>
          <font>
            <color theme="1"/>
            <name val="Aptos"/>
            <family val="2"/>
            <scheme val="none"/>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8"/>
            <color theme="0" tint="-4.9989318521683403E-2"/>
            <name val="Aptos"/>
            <family val="2"/>
            <scheme val="none"/>
          </font>
          <fill>
            <patternFill patternType="solid">
              <fgColor auto="1"/>
              <bgColor theme="0" tint="-0.24994659260841701"/>
            </patternFill>
          </fill>
          <border diagonalUp="0" diagonalDown="0">
            <left/>
            <right/>
            <top/>
            <bottom/>
            <vertical/>
            <horizontal/>
          </border>
        </dxf>
        <dxf>
          <font>
            <sz val="8"/>
            <color theme="0" tint="-4.9989318521683403E-2"/>
            <name val="Aptos"/>
            <family val="2"/>
            <scheme val="none"/>
          </font>
          <fill>
            <patternFill patternType="solid">
              <fgColor auto="1"/>
              <bgColor theme="0" tint="-0.24994659260841701"/>
            </patternFill>
          </fill>
          <border diagonalUp="0" diagonalDown="0">
            <left/>
            <right/>
            <top/>
            <bottom/>
            <vertical/>
            <horizontal/>
          </border>
        </dxf>
        <dxf>
          <font>
            <color rgb="FF828282"/>
            <name val="Aptos"/>
            <family val="2"/>
            <scheme val="none"/>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sz val="8"/>
            <color theme="0"/>
            <name val="Aptos"/>
            <family val="2"/>
            <scheme val="none"/>
          </font>
          <fill>
            <patternFill patternType="solid">
              <fgColor auto="1"/>
              <bgColor theme="4" tint="-0.499984740745262"/>
            </patternFill>
          </fill>
          <border diagonalUp="0" diagonalDown="0">
            <left/>
            <right/>
            <top/>
            <bottom/>
            <vertical/>
            <horizontal/>
          </border>
        </dxf>
        <dxf>
          <font>
            <color rgb="FF828282"/>
            <name val="Aptos"/>
            <family val="2"/>
            <scheme val="none"/>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sz val="8"/>
            <color theme="0"/>
            <name val="Aptos"/>
            <family val="2"/>
            <scheme val="none"/>
          </font>
          <fill>
            <patternFill patternType="solid">
              <fgColor auto="1"/>
              <bgColor theme="0" tint="-0.14996795556505021"/>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8"/>
            <color theme="0" tint="-4.9989318521683403E-2"/>
            <name val="Century Gothic"/>
            <family val="2"/>
            <scheme val="none"/>
          </font>
          <fill>
            <patternFill patternType="solid">
              <fgColor auto="1"/>
              <bgColor theme="0" tint="-0.24994659260841701"/>
            </patternFill>
          </fill>
          <border diagonalUp="0" diagonalDown="0">
            <left/>
            <right/>
            <top/>
            <bottom/>
            <vertical/>
            <horizontal/>
          </border>
        </dxf>
        <dxf>
          <font>
            <sz val="8"/>
            <color theme="0" tint="-4.9989318521683403E-2"/>
            <name val="Century Gothic"/>
            <family val="2"/>
            <scheme val="none"/>
          </font>
          <fill>
            <patternFill patternType="solid">
              <fgColor auto="1"/>
              <bgColor theme="0" tint="-0.24994659260841701"/>
            </patternFill>
          </fill>
          <border diagonalUp="0" diagonalDown="0">
            <left/>
            <right/>
            <top/>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sz val="8"/>
            <color theme="0"/>
            <name val="Century Gothic"/>
            <family val="2"/>
            <scheme val="none"/>
          </font>
          <fill>
            <patternFill patternType="solid">
              <fgColor auto="1"/>
              <bgColor theme="4" tint="-0.499984740745262"/>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sz val="8"/>
            <color theme="0"/>
            <name val="Century Gothic"/>
            <family val="2"/>
            <scheme val="none"/>
          </font>
          <fill>
            <patternFill patternType="solid">
              <fgColor auto="1"/>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 angel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Da angels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Da angels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30" Type="http://schemas.microsoft.com/office/2017/10/relationships/person" Target="persons/person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By Salesperson!PivotTable1</c:name>
    <c:fmtId val="10"/>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sz="1200" b="1">
                <a:solidFill>
                  <a:srgbClr val="235733"/>
                </a:solidFill>
                <a:latin typeface="Century Gothic" panose="020B0502020202020204" pitchFamily="34" charset="0"/>
              </a:rPr>
              <a:t>Sales By Salesperson</a:t>
            </a:r>
          </a:p>
        </c:rich>
      </c:tx>
      <c:layout>
        <c:manualLayout>
          <c:xMode val="edge"/>
          <c:yMode val="edge"/>
          <c:x val="1.8178650298388981E-2"/>
          <c:y val="3.42843631032607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D7142"/>
          </a:solidFill>
          <a:ln w="19050">
            <a:noFill/>
          </a:ln>
          <a:effectLst/>
        </c:spPr>
      </c:pivotFmt>
      <c:pivotFmt>
        <c:idx val="24"/>
        <c:spPr>
          <a:solidFill>
            <a:srgbClr val="36864F"/>
          </a:solidFill>
          <a:ln w="19050">
            <a:noFill/>
          </a:ln>
          <a:effectLst/>
        </c:spPr>
      </c:pivotFmt>
      <c:pivotFmt>
        <c:idx val="25"/>
        <c:spPr>
          <a:solidFill>
            <a:srgbClr val="46B067"/>
          </a:solidFill>
          <a:ln w="19050">
            <a:noFill/>
          </a:ln>
          <a:effectLst/>
        </c:spPr>
      </c:pivotFmt>
      <c:pivotFmt>
        <c:idx val="26"/>
        <c:spPr>
          <a:solidFill>
            <a:srgbClr val="7CCA94"/>
          </a:solidFill>
          <a:ln w="19050">
            <a:noFill/>
          </a:ln>
          <a:effectLst/>
        </c:spPr>
      </c:pivotFmt>
      <c:pivotFmt>
        <c:idx val="27"/>
        <c:spPr>
          <a:solidFill>
            <a:srgbClr val="9AD6AD"/>
          </a:solidFill>
          <a:ln w="19050">
            <a:noFill/>
          </a:ln>
          <a:effectLst/>
        </c:spPr>
      </c:pivotFmt>
      <c:pivotFmt>
        <c:idx val="28"/>
        <c:spPr>
          <a:solidFill>
            <a:srgbClr val="D8F0DF"/>
          </a:solidFill>
          <a:ln w="19050">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rgbClr val="235733"/>
            </a:solidFill>
            <a:ln w="19050">
              <a:noFill/>
            </a:ln>
            <a:effectLst/>
          </c:spPr>
          <c:invertIfNegative val="0"/>
          <c:dPt>
            <c:idx val="2"/>
            <c:invertIfNegative val="0"/>
            <c:bubble3D val="0"/>
            <c:spPr>
              <a:solidFill>
                <a:srgbClr val="2D7142"/>
              </a:solidFill>
              <a:ln w="19050">
                <a:noFill/>
              </a:ln>
              <a:effectLst/>
            </c:spPr>
            <c:extLst>
              <c:ext xmlns:c16="http://schemas.microsoft.com/office/drawing/2014/chart" uri="{C3380CC4-5D6E-409C-BE32-E72D297353CC}">
                <c16:uniqueId val="{00000001-DA52-40B7-A4C7-3BA7A11600D2}"/>
              </c:ext>
            </c:extLst>
          </c:dPt>
          <c:dPt>
            <c:idx val="3"/>
            <c:invertIfNegative val="0"/>
            <c:bubble3D val="0"/>
            <c:spPr>
              <a:solidFill>
                <a:srgbClr val="36864F"/>
              </a:solidFill>
              <a:ln w="19050">
                <a:noFill/>
              </a:ln>
              <a:effectLst/>
            </c:spPr>
            <c:extLst>
              <c:ext xmlns:c16="http://schemas.microsoft.com/office/drawing/2014/chart" uri="{C3380CC4-5D6E-409C-BE32-E72D297353CC}">
                <c16:uniqueId val="{00000003-DA52-40B7-A4C7-3BA7A11600D2}"/>
              </c:ext>
            </c:extLst>
          </c:dPt>
          <c:dPt>
            <c:idx val="4"/>
            <c:invertIfNegative val="0"/>
            <c:bubble3D val="0"/>
            <c:spPr>
              <a:solidFill>
                <a:srgbClr val="46B067"/>
              </a:solidFill>
              <a:ln w="19050">
                <a:noFill/>
              </a:ln>
              <a:effectLst/>
            </c:spPr>
            <c:extLst>
              <c:ext xmlns:c16="http://schemas.microsoft.com/office/drawing/2014/chart" uri="{C3380CC4-5D6E-409C-BE32-E72D297353CC}">
                <c16:uniqueId val="{00000005-DA52-40B7-A4C7-3BA7A11600D2}"/>
              </c:ext>
            </c:extLst>
          </c:dPt>
          <c:dPt>
            <c:idx val="5"/>
            <c:invertIfNegative val="0"/>
            <c:bubble3D val="0"/>
            <c:spPr>
              <a:solidFill>
                <a:srgbClr val="7CCA94"/>
              </a:solidFill>
              <a:ln w="19050">
                <a:noFill/>
              </a:ln>
              <a:effectLst/>
            </c:spPr>
            <c:extLst>
              <c:ext xmlns:c16="http://schemas.microsoft.com/office/drawing/2014/chart" uri="{C3380CC4-5D6E-409C-BE32-E72D297353CC}">
                <c16:uniqueId val="{00000007-DA52-40B7-A4C7-3BA7A11600D2}"/>
              </c:ext>
            </c:extLst>
          </c:dPt>
          <c:dPt>
            <c:idx val="6"/>
            <c:invertIfNegative val="0"/>
            <c:bubble3D val="0"/>
            <c:spPr>
              <a:solidFill>
                <a:srgbClr val="9AD6AD"/>
              </a:solidFill>
              <a:ln w="19050">
                <a:noFill/>
              </a:ln>
              <a:effectLst/>
            </c:spPr>
            <c:extLst>
              <c:ext xmlns:c16="http://schemas.microsoft.com/office/drawing/2014/chart" uri="{C3380CC4-5D6E-409C-BE32-E72D297353CC}">
                <c16:uniqueId val="{00000009-DA52-40B7-A4C7-3BA7A11600D2}"/>
              </c:ext>
            </c:extLst>
          </c:dPt>
          <c:dPt>
            <c:idx val="7"/>
            <c:invertIfNegative val="0"/>
            <c:bubble3D val="0"/>
            <c:spPr>
              <a:solidFill>
                <a:srgbClr val="D8F0DF"/>
              </a:solidFill>
              <a:ln w="19050">
                <a:noFill/>
              </a:ln>
              <a:effectLst/>
            </c:spPr>
            <c:extLst>
              <c:ext xmlns:c16="http://schemas.microsoft.com/office/drawing/2014/chart" uri="{C3380CC4-5D6E-409C-BE32-E72D297353CC}">
                <c16:uniqueId val="{0000000B-DA52-40B7-A4C7-3BA7A11600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7CCA94"/>
                </a:solidFill>
                <a:prstDash val="sysDot"/>
              </a:ln>
              <a:effectLst/>
            </c:spPr>
            <c:trendlineType val="exp"/>
            <c:dispRSqr val="0"/>
            <c:dispEq val="0"/>
          </c:trendline>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D-DA52-40B7-A4C7-3BA7A11600D2}"/>
            </c:ext>
          </c:extLst>
        </c:ser>
        <c:dLbls>
          <c:showLegendKey val="0"/>
          <c:showVal val="0"/>
          <c:showCatName val="0"/>
          <c:showSerName val="0"/>
          <c:showPercent val="0"/>
          <c:showBubbleSize val="0"/>
        </c:dLbls>
        <c:gapWidth val="20"/>
        <c:axId val="575352784"/>
        <c:axId val="575352064"/>
      </c:barChart>
      <c:valAx>
        <c:axId val="57535206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between"/>
      </c:valAx>
      <c:catAx>
        <c:axId val="5753527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By Region!PivotTable1</c:name>
    <c:fmtId val="8"/>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sz="1200" b="1">
                <a:solidFill>
                  <a:srgbClr val="235733"/>
                </a:solidFill>
                <a:latin typeface="Century Gothic" panose="020B0502020202020204" pitchFamily="34" charset="0"/>
              </a:rPr>
              <a:t>Sales By Region</a:t>
            </a:r>
          </a:p>
        </c:rich>
      </c:tx>
      <c:layout>
        <c:manualLayout>
          <c:xMode val="edge"/>
          <c:yMode val="edge"/>
          <c:x val="2.5270647535105856E-2"/>
          <c:y val="3.44445771686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35733"/>
          </a:solidFill>
          <a:ln w="19050">
            <a:noFill/>
          </a:ln>
          <a:effectLst/>
        </c:spPr>
      </c:pivotFmt>
      <c:pivotFmt>
        <c:idx val="12"/>
        <c:spPr>
          <a:solidFill>
            <a:srgbClr val="36864F"/>
          </a:solidFill>
          <a:ln w="19050">
            <a:noFill/>
          </a:ln>
          <a:effectLst/>
        </c:spPr>
      </c:pivotFmt>
      <c:pivotFmt>
        <c:idx val="13"/>
        <c:spPr>
          <a:solidFill>
            <a:srgbClr val="46B067"/>
          </a:solidFill>
          <a:ln w="19050">
            <a:noFill/>
          </a:ln>
          <a:effectLst/>
        </c:spPr>
      </c:pivotFmt>
      <c:pivotFmt>
        <c:idx val="14"/>
        <c:spPr>
          <a:solidFill>
            <a:srgbClr val="7CCA94"/>
          </a:solidFill>
          <a:ln w="19050">
            <a:noFill/>
          </a:ln>
          <a:effectLst/>
        </c:spPr>
      </c:pivotFmt>
    </c:pivotFmts>
    <c:plotArea>
      <c:layout/>
      <c:pieChart>
        <c:varyColors val="1"/>
        <c:ser>
          <c:idx val="0"/>
          <c:order val="0"/>
          <c:tx>
            <c:strRef>
              <c:f>'Sales By Region'!$B$3</c:f>
              <c:strCache>
                <c:ptCount val="1"/>
                <c:pt idx="0">
                  <c:v>Total</c:v>
                </c:pt>
              </c:strCache>
            </c:strRef>
          </c:tx>
          <c:spPr>
            <a:solidFill>
              <a:schemeClr val="accent1">
                <a:lumMod val="50000"/>
              </a:schemeClr>
            </a:solidFill>
            <a:ln>
              <a:noFill/>
            </a:ln>
          </c:spPr>
          <c:explosion val="2"/>
          <c:dPt>
            <c:idx val="0"/>
            <c:bubble3D val="0"/>
            <c:spPr>
              <a:solidFill>
                <a:srgbClr val="235733"/>
              </a:solidFill>
              <a:ln w="19050">
                <a:noFill/>
              </a:ln>
              <a:effectLst/>
            </c:spPr>
            <c:extLst>
              <c:ext xmlns:c16="http://schemas.microsoft.com/office/drawing/2014/chart" uri="{C3380CC4-5D6E-409C-BE32-E72D297353CC}">
                <c16:uniqueId val="{00000001-0A5C-4D9E-8BF5-F5E075934D55}"/>
              </c:ext>
            </c:extLst>
          </c:dPt>
          <c:dPt>
            <c:idx val="1"/>
            <c:bubble3D val="0"/>
            <c:spPr>
              <a:solidFill>
                <a:srgbClr val="36864F"/>
              </a:solidFill>
              <a:ln w="19050">
                <a:noFill/>
              </a:ln>
              <a:effectLst/>
            </c:spPr>
            <c:extLst>
              <c:ext xmlns:c16="http://schemas.microsoft.com/office/drawing/2014/chart" uri="{C3380CC4-5D6E-409C-BE32-E72D297353CC}">
                <c16:uniqueId val="{00000003-0A5C-4D9E-8BF5-F5E075934D55}"/>
              </c:ext>
            </c:extLst>
          </c:dPt>
          <c:dPt>
            <c:idx val="2"/>
            <c:bubble3D val="0"/>
            <c:spPr>
              <a:solidFill>
                <a:srgbClr val="46B067"/>
              </a:solidFill>
              <a:ln w="19050">
                <a:noFill/>
              </a:ln>
              <a:effectLst/>
            </c:spPr>
            <c:extLst>
              <c:ext xmlns:c16="http://schemas.microsoft.com/office/drawing/2014/chart" uri="{C3380CC4-5D6E-409C-BE32-E72D297353CC}">
                <c16:uniqueId val="{00000005-0A5C-4D9E-8BF5-F5E075934D55}"/>
              </c:ext>
            </c:extLst>
          </c:dPt>
          <c:dPt>
            <c:idx val="3"/>
            <c:bubble3D val="0"/>
            <c:spPr>
              <a:solidFill>
                <a:srgbClr val="7CCA94"/>
              </a:solidFill>
              <a:ln w="19050">
                <a:noFill/>
              </a:ln>
              <a:effectLst/>
            </c:spPr>
            <c:extLst>
              <c:ext xmlns:c16="http://schemas.microsoft.com/office/drawing/2014/chart" uri="{C3380CC4-5D6E-409C-BE32-E72D297353CC}">
                <c16:uniqueId val="{00000007-0A5C-4D9E-8BF5-F5E075934D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0A5C-4D9E-8BF5-F5E075934D5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Trend!PivotTable1</c:name>
    <c:fmtId val="20"/>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latin typeface="Century Gothic" panose="020B0502020202020204" pitchFamily="34" charset="0"/>
              </a:rPr>
              <a:t>Sales Trend</a:t>
            </a:r>
          </a:p>
        </c:rich>
      </c:tx>
      <c:layout>
        <c:manualLayout>
          <c:xMode val="edge"/>
          <c:yMode val="edge"/>
          <c:x val="9.7668992926271819E-3"/>
          <c:y val="4.6296314051551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rgbClr val="245A8C"/>
          </a:solidFill>
          <a:ln w="19050">
            <a:noFill/>
          </a:ln>
          <a:effectLst/>
        </c:spPr>
      </c:pivotFmt>
      <c:pivotFmt>
        <c:idx val="23"/>
        <c:spPr>
          <a:solidFill>
            <a:srgbClr val="2A69A2"/>
          </a:solidFill>
          <a:ln w="19050">
            <a:noFill/>
          </a:ln>
          <a:effectLst/>
        </c:spPr>
      </c:pivotFmt>
      <c:pivotFmt>
        <c:idx val="24"/>
        <c:spPr>
          <a:solidFill>
            <a:srgbClr val="3381C7"/>
          </a:solidFill>
          <a:ln w="19050">
            <a:noFill/>
          </a:ln>
          <a:effectLst/>
        </c:spPr>
      </c:pivotFmt>
      <c:pivotFmt>
        <c:idx val="25"/>
        <c:spPr>
          <a:solidFill>
            <a:srgbClr val="5195D3"/>
          </a:solidFill>
          <a:ln w="19050">
            <a:noFill/>
          </a:ln>
          <a:effectLst/>
        </c:spPr>
      </c:pivotFmt>
      <c:pivotFmt>
        <c:idx val="26"/>
        <c:spPr>
          <a:solidFill>
            <a:srgbClr val="73A9DB"/>
          </a:solidFill>
          <a:ln w="19050">
            <a:noFill/>
          </a:ln>
          <a:effectLst/>
        </c:spPr>
      </c:pivotFmt>
      <c:pivotFmt>
        <c:idx val="27"/>
        <c:spPr>
          <a:solidFill>
            <a:srgbClr val="98C0E4"/>
          </a:solidFill>
          <a:ln w="19050">
            <a:noFill/>
          </a:ln>
          <a:effectLst/>
        </c:spPr>
      </c:pivotFmt>
      <c:pivotFmt>
        <c:idx val="28"/>
        <c:spPr>
          <a:solidFill>
            <a:srgbClr val="CEE1F2"/>
          </a:solidFill>
          <a:ln w="19050">
            <a:noFill/>
          </a:ln>
          <a:effectLst/>
        </c:spPr>
      </c:pivotFmt>
      <c:pivotFmt>
        <c:idx val="29"/>
        <c:spPr>
          <a:solidFill>
            <a:srgbClr val="D4E5F4"/>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4E5F4"/>
          </a:solidFill>
          <a:ln w="19050">
            <a:noFill/>
          </a:ln>
          <a:effectLst/>
        </c:spPr>
      </c:pivotFmt>
      <c:pivotFmt>
        <c:idx val="32"/>
        <c:spPr>
          <a:solidFill>
            <a:srgbClr val="CEE1F2"/>
          </a:solidFill>
          <a:ln w="19050">
            <a:noFill/>
          </a:ln>
          <a:effectLst/>
        </c:spPr>
      </c:pivotFmt>
      <c:pivotFmt>
        <c:idx val="33"/>
        <c:spPr>
          <a:solidFill>
            <a:srgbClr val="98C0E4"/>
          </a:solidFill>
          <a:ln w="19050">
            <a:noFill/>
          </a:ln>
          <a:effectLst/>
        </c:spPr>
      </c:pivotFmt>
      <c:pivotFmt>
        <c:idx val="34"/>
        <c:spPr>
          <a:solidFill>
            <a:srgbClr val="73A9DB"/>
          </a:solidFill>
          <a:ln w="19050">
            <a:noFill/>
          </a:ln>
          <a:effectLst/>
        </c:spPr>
      </c:pivotFmt>
      <c:pivotFmt>
        <c:idx val="35"/>
        <c:spPr>
          <a:solidFill>
            <a:srgbClr val="5195D3"/>
          </a:solidFill>
          <a:ln w="19050">
            <a:noFill/>
          </a:ln>
          <a:effectLst/>
        </c:spPr>
      </c:pivotFmt>
      <c:pivotFmt>
        <c:idx val="36"/>
        <c:spPr>
          <a:solidFill>
            <a:srgbClr val="3381C7"/>
          </a:solidFill>
          <a:ln w="19050">
            <a:noFill/>
          </a:ln>
          <a:effectLst/>
        </c:spPr>
      </c:pivotFmt>
      <c:pivotFmt>
        <c:idx val="37"/>
        <c:spPr>
          <a:solidFill>
            <a:srgbClr val="2A69A2"/>
          </a:solidFill>
          <a:ln w="19050">
            <a:noFill/>
          </a:ln>
          <a:effectLst/>
        </c:spPr>
      </c:pivotFmt>
      <c:pivotFmt>
        <c:idx val="38"/>
        <c:spPr>
          <a:solidFill>
            <a:srgbClr val="245A8C"/>
          </a:solidFill>
          <a:ln w="19050">
            <a:noFill/>
          </a:ln>
          <a:effectLst/>
        </c:spPr>
      </c:pivotFmt>
      <c:pivotFmt>
        <c:idx val="3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6"/>
        <c:spPr>
          <a:ln w="28575" cap="rnd">
            <a:solidFill>
              <a:srgbClr val="235733"/>
            </a:solidFill>
            <a:round/>
          </a:ln>
          <a:effectLst/>
        </c:spPr>
        <c:marker>
          <c:symbol val="circle"/>
          <c:size val="5"/>
          <c:spPr>
            <a:solidFill>
              <a:srgbClr val="9AD6AD"/>
            </a:solidFill>
            <a:ln w="9525">
              <a:solidFill>
                <a:srgbClr val="2357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rgbClr val="235733"/>
            </a:solidFill>
            <a:round/>
          </a:ln>
          <a:effectLst/>
        </c:spPr>
        <c:marker>
          <c:symbol val="circle"/>
          <c:size val="5"/>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rgbClr val="235733"/>
            </a:solidFill>
            <a:round/>
          </a:ln>
          <a:effectLst/>
        </c:spPr>
        <c:marker>
          <c:symbol val="circle"/>
          <c:size val="5"/>
        </c:marker>
      </c:pivotFmt>
      <c:pivotFmt>
        <c:idx val="59"/>
        <c:spPr>
          <a:ln w="28575" cap="rnd">
            <a:solidFill>
              <a:srgbClr val="235733"/>
            </a:solidFill>
            <a:round/>
          </a:ln>
          <a:effectLst/>
        </c:spPr>
        <c:marker>
          <c:symbol val="circle"/>
          <c:size val="5"/>
        </c:marker>
      </c:pivotFmt>
      <c:pivotFmt>
        <c:idx val="60"/>
        <c:spPr>
          <a:ln w="28575" cap="rnd">
            <a:solidFill>
              <a:srgbClr val="235733"/>
            </a:solidFill>
            <a:round/>
          </a:ln>
          <a:effectLst/>
        </c:spPr>
        <c:marker>
          <c:symbol val="circle"/>
          <c:size val="5"/>
        </c:marker>
      </c:pivotFmt>
      <c:pivotFmt>
        <c:idx val="61"/>
        <c:spPr>
          <a:ln w="28575" cap="rnd">
            <a:solidFill>
              <a:srgbClr val="235733"/>
            </a:solidFill>
            <a:round/>
          </a:ln>
          <a:effectLst/>
        </c:spPr>
        <c:marker>
          <c:symbol val="circle"/>
          <c:size val="5"/>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rgbClr val="235733"/>
            </a:solidFill>
            <a:round/>
          </a:ln>
          <a:effectLst/>
        </c:spPr>
        <c:marker>
          <c:symbol val="circle"/>
          <c:size val="5"/>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rgbClr val="235733"/>
            </a:solidFill>
            <a:round/>
          </a:ln>
          <a:effectLst/>
        </c:spPr>
        <c:marker>
          <c:symbol val="circle"/>
          <c:size val="5"/>
        </c:marker>
      </c:pivotFmt>
      <c:pivotFmt>
        <c:idx val="64"/>
        <c:spPr>
          <a:ln w="28575" cap="rnd">
            <a:solidFill>
              <a:srgbClr val="235733"/>
            </a:solidFill>
            <a:round/>
          </a:ln>
          <a:effectLst/>
        </c:spPr>
        <c:marker>
          <c:symbol val="circle"/>
          <c:size val="5"/>
        </c:marker>
      </c:pivotFmt>
    </c:pivotFmts>
    <c:plotArea>
      <c:layout/>
      <c:lineChart>
        <c:grouping val="standard"/>
        <c:varyColors val="0"/>
        <c:ser>
          <c:idx val="0"/>
          <c:order val="0"/>
          <c:tx>
            <c:strRef>
              <c:f>'Sales Trend'!$B$3</c:f>
              <c:strCache>
                <c:ptCount val="1"/>
                <c:pt idx="0">
                  <c:v>Total</c:v>
                </c:pt>
              </c:strCache>
            </c:strRef>
          </c:tx>
          <c:spPr>
            <a:ln w="28575" cap="rnd">
              <a:solidFill>
                <a:srgbClr val="235733"/>
              </a:solidFill>
              <a:round/>
            </a:ln>
            <a:effectLst/>
          </c:spPr>
          <c:marker>
            <c:symbol val="circle"/>
            <c:size val="5"/>
            <c:spPr>
              <a:solidFill>
                <a:srgbClr val="9AD6AD"/>
              </a:solidFill>
              <a:ln w="9525">
                <a:solidFill>
                  <a:srgbClr val="235733"/>
                </a:solidFill>
              </a:ln>
              <a:effectLst/>
            </c:spPr>
          </c:marker>
          <c:dPt>
            <c:idx val="0"/>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1-F4CD-4FDE-BB27-E57D6E8F2C86}"/>
              </c:ext>
            </c:extLst>
          </c:dPt>
          <c:dPt>
            <c:idx val="1"/>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3-F4CD-4FDE-BB27-E57D6E8F2C86}"/>
              </c:ext>
            </c:extLst>
          </c:dPt>
          <c:dPt>
            <c:idx val="2"/>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5-F4CD-4FDE-BB27-E57D6E8F2C86}"/>
              </c:ext>
            </c:extLst>
          </c:dPt>
          <c:dPt>
            <c:idx val="3"/>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7-F4CD-4FDE-BB27-E57D6E8F2C86}"/>
              </c:ext>
            </c:extLst>
          </c:dPt>
          <c:dPt>
            <c:idx val="4"/>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9-F4CD-4FDE-BB27-E57D6E8F2C86}"/>
              </c:ext>
            </c:extLst>
          </c:dPt>
          <c:dPt>
            <c:idx val="5"/>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B-F4CD-4FDE-BB27-E57D6E8F2C86}"/>
              </c:ext>
            </c:extLst>
          </c:dPt>
          <c:dPt>
            <c:idx val="6"/>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D-F4CD-4FDE-BB27-E57D6E8F2C86}"/>
              </c:ext>
            </c:extLst>
          </c:dPt>
          <c:dPt>
            <c:idx val="7"/>
            <c:marker>
              <c:symbol val="circle"/>
              <c:size val="5"/>
              <c:spPr>
                <a:solidFill>
                  <a:srgbClr val="9AD6AD"/>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F-F4CD-4FDE-BB27-E57D6E8F2C86}"/>
              </c:ext>
            </c:extLst>
          </c:dPt>
          <c:dLbls>
            <c:dLbl>
              <c:idx val="0"/>
              <c:layout>
                <c:manualLayout>
                  <c:x val="-1.7226528854437095E-3"/>
                  <c:y val="-5.4794494279895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CD-4FDE-BB27-E57D6E8F2C86}"/>
                </c:ext>
              </c:extLst>
            </c:dLbl>
            <c:dLbl>
              <c:idx val="4"/>
              <c:layout>
                <c:manualLayout>
                  <c:x val="-6.8906115417743325E-3"/>
                  <c:y val="-4.2617939995474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4CD-4FDE-BB27-E57D6E8F2C86}"/>
                </c:ext>
              </c:extLst>
            </c:dLbl>
            <c:dLbl>
              <c:idx val="5"/>
              <c:layout>
                <c:manualLayout>
                  <c:x val="-6.8906115417744591E-3"/>
                  <c:y val="3.65296628532637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4CD-4FDE-BB27-E57D6E8F2C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Ref>
              <c:f>'Sales Trend'!$A$4:$A$16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'Sales Trend'!$B$4:$B$16</c:f>
              <c:numCache>
                <c:formatCode>"$"#,##0.00</c:formatCode>
                <c:ptCount val="12"/>
                <c:pt idx="0">
                  <c:v>66642.78</c:v>
                </c:pt>
                <c:pt idx="1">
                  <c:v>31773.429999999997</c:v>
                </c:pt>
                <c:pt idx="2">
                  <c:v>53033.59</c:v>
                </c:pt>
                <c:pt idx="3">
                  <c:v>31949.97</c:v>
                </c:pt>
                <c:pt idx="4">
                  <c:v>29921.459999999995</c:v>
                </c:pt>
                <c:pt idx="5">
                  <c:v>27318.539999999997</c:v>
                </c:pt>
                <c:pt idx="6">
                  <c:v>55601.61</c:v>
                </c:pt>
                <c:pt idx="7">
                  <c:v>34307.049999999996</c:v>
                </c:pt>
                <c:pt idx="8">
                  <c:v>20771.789999999997</c:v>
                </c:pt>
                <c:pt idx="9">
                  <c:v>30852.6</c:v>
                </c:pt>
                <c:pt idx="10">
                  <c:v>19985.5</c:v>
                </c:pt>
                <c:pt idx="11">
                  <c:v>32907.839999999997</c:v>
                </c:pt>
              </c:numCache>
            </c:numRef>
          </c:val>
          <c:smooth val="0"/>
          <c:extLst>
            <c:ext xmlns:c16="http://schemas.microsoft.com/office/drawing/2014/chart" uri="{C3380CC4-5D6E-409C-BE32-E72D297353CC}">
              <c16:uniqueId val="{00000011-F4CD-4FDE-BB27-E57D6E8F2C86}"/>
            </c:ext>
          </c:extLst>
        </c:ser>
        <c:dLbls>
          <c:showLegendKey val="0"/>
          <c:showVal val="0"/>
          <c:showCatName val="0"/>
          <c:showSerName val="0"/>
          <c:showPercent val="0"/>
          <c:showBubbleSize val="0"/>
        </c:dLbls>
        <c:marker val="1"/>
        <c:smooth val="0"/>
        <c:axId val="575352784"/>
        <c:axId val="575352064"/>
      </c:lineChart>
      <c:valAx>
        <c:axId val="575352064"/>
        <c:scaling>
          <c:orientation val="minMax"/>
        </c:scaling>
        <c:delete val="1"/>
        <c:axPos val="r"/>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between"/>
      </c:valAx>
      <c:catAx>
        <c:axId val="5753527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CHIBUIKEM.xlsx]Top Ship Cities!PivotTable1</c:name>
    <c:fmtId val="14"/>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sz="1200" b="1">
                <a:solidFill>
                  <a:srgbClr val="235733"/>
                </a:solidFill>
                <a:latin typeface="Century Gothic" panose="020B0502020202020204" pitchFamily="34" charset="0"/>
              </a:rPr>
              <a:t>Top 6 Ship Cities</a:t>
            </a:r>
            <a:r>
              <a:rPr lang="en-US" sz="1200" b="1" baseline="0">
                <a:solidFill>
                  <a:srgbClr val="235733"/>
                </a:solidFill>
                <a:latin typeface="Century Gothic" panose="020B0502020202020204" pitchFamily="34" charset="0"/>
              </a:rPr>
              <a:t> By Revenue</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75000"/>
            </a:schemeClr>
          </a:solidFill>
          <a:ln w="19050">
            <a:noFill/>
          </a:ln>
          <a:effectLst/>
        </c:spPr>
      </c:pivotFmt>
      <c:pivotFmt>
        <c:idx val="11"/>
        <c:spPr>
          <a:solidFill>
            <a:schemeClr val="accent1">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accent1">
              <a:lumMod val="20000"/>
              <a:lumOff val="80000"/>
            </a:schemeClr>
          </a:solidFill>
          <a:ln w="19050">
            <a:noFill/>
          </a:ln>
          <a:effectLst/>
        </c:spPr>
      </c:pivotFmt>
      <c:pivotFmt>
        <c:idx val="1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noFill/>
          </a:ln>
          <a:effectLst/>
        </c:spPr>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75000"/>
            </a:schemeClr>
          </a:solidFill>
          <a:ln w="19050">
            <a:noFill/>
          </a:ln>
          <a:effectLst/>
        </c:spPr>
      </c:pivotFmt>
      <c:pivotFmt>
        <c:idx val="19"/>
        <c:spPr>
          <a:solidFill>
            <a:schemeClr val="accent1"/>
          </a:solidFill>
          <a:ln w="28575" cap="rnd">
            <a:solidFill>
              <a:schemeClr val="accent1">
                <a:lumMod val="50000"/>
              </a:schemeClr>
            </a:solidFill>
            <a:round/>
          </a:ln>
          <a:effectLst/>
        </c:spPr>
        <c:marker>
          <c:symbol val="none"/>
        </c:marker>
      </c:pivotFmt>
      <c:pivotFmt>
        <c:idx val="20"/>
        <c:spPr>
          <a:solidFill>
            <a:schemeClr val="accent1"/>
          </a:solidFill>
          <a:ln w="28575" cap="rnd">
            <a:solidFill>
              <a:schemeClr val="accent1">
                <a:lumMod val="50000"/>
              </a:schemeClr>
            </a:solidFill>
            <a:round/>
          </a:ln>
          <a:effectLst/>
        </c:spPr>
        <c:marker>
          <c:symbol val="none"/>
        </c:marker>
      </c:pivotFmt>
      <c:pivotFmt>
        <c:idx val="21"/>
        <c:spPr>
          <a:solidFill>
            <a:schemeClr val="accent1"/>
          </a:solidFill>
          <a:ln w="28575" cap="rnd">
            <a:solidFill>
              <a:schemeClr val="accent1">
                <a:lumMod val="50000"/>
              </a:schemeClr>
            </a:solidFill>
            <a:round/>
          </a:ln>
          <a:effectLst/>
        </c:spPr>
        <c:marker>
          <c:symbol val="none"/>
        </c:marker>
      </c:pivotFmt>
      <c:pivotFmt>
        <c:idx val="22"/>
        <c:spPr>
          <a:solidFill>
            <a:schemeClr val="accent1"/>
          </a:solidFill>
          <a:ln w="28575" cap="rnd">
            <a:solidFill>
              <a:schemeClr val="accent1">
                <a:lumMod val="50000"/>
              </a:schemeClr>
            </a:solidFill>
            <a:round/>
          </a:ln>
          <a:effectLst/>
        </c:spPr>
        <c:marker>
          <c:symbol val="none"/>
        </c:marker>
      </c:pivotFmt>
      <c:pivotFmt>
        <c:idx val="23"/>
        <c:spPr>
          <a:solidFill>
            <a:schemeClr val="accent1"/>
          </a:solidFill>
          <a:ln w="28575" cap="rnd">
            <a:solidFill>
              <a:schemeClr val="accent1">
                <a:lumMod val="50000"/>
              </a:schemeClr>
            </a:solidFill>
            <a:round/>
          </a:ln>
          <a:effectLst/>
        </c:spPr>
        <c:marker>
          <c:symbol val="none"/>
        </c:marker>
      </c:pivotFmt>
      <c:pivotFmt>
        <c:idx val="2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lumMod val="50000"/>
              </a:schemeClr>
            </a:solidFill>
            <a:round/>
          </a:ln>
          <a:effectLst/>
        </c:spPr>
        <c:marker>
          <c:symbol val="none"/>
        </c:marker>
      </c:pivotFmt>
      <c:pivotFmt>
        <c:idx val="26"/>
        <c:spPr>
          <a:solidFill>
            <a:schemeClr val="accent1"/>
          </a:solidFill>
          <a:ln w="28575" cap="rnd">
            <a:solidFill>
              <a:schemeClr val="accent1">
                <a:lumMod val="50000"/>
              </a:schemeClr>
            </a:solidFill>
            <a:round/>
          </a:ln>
          <a:effectLst/>
        </c:spPr>
        <c:marker>
          <c:symbol val="none"/>
        </c:marker>
      </c:pivotFmt>
      <c:pivotFmt>
        <c:idx val="27"/>
        <c:spPr>
          <a:solidFill>
            <a:schemeClr val="accent1"/>
          </a:solidFill>
          <a:ln w="28575" cap="rnd">
            <a:solidFill>
              <a:schemeClr val="accent1">
                <a:lumMod val="50000"/>
              </a:schemeClr>
            </a:solidFill>
            <a:round/>
          </a:ln>
          <a:effectLst/>
        </c:spPr>
        <c:marker>
          <c:symbol val="none"/>
        </c:marker>
      </c:pivotFmt>
      <c:pivotFmt>
        <c:idx val="28"/>
        <c:spPr>
          <a:solidFill>
            <a:schemeClr val="accent1"/>
          </a:solidFill>
          <a:ln w="28575" cap="rnd">
            <a:solidFill>
              <a:schemeClr val="accent1">
                <a:lumMod val="50000"/>
              </a:schemeClr>
            </a:solidFill>
            <a:round/>
          </a:ln>
          <a:effectLst/>
        </c:spPr>
        <c:marker>
          <c:symbol val="none"/>
        </c:marker>
      </c:pivotFmt>
      <c:pivotFmt>
        <c:idx val="29"/>
        <c:spPr>
          <a:solidFill>
            <a:schemeClr val="accent1"/>
          </a:solidFill>
          <a:ln w="28575" cap="rnd">
            <a:solidFill>
              <a:schemeClr val="accent1">
                <a:lumMod val="50000"/>
              </a:schemeClr>
            </a:solidFill>
            <a:round/>
          </a:ln>
          <a:effectLst/>
        </c:spPr>
        <c:marker>
          <c:symbol val="none"/>
        </c:marker>
      </c:pivotFmt>
      <c:pivotFmt>
        <c:idx val="30"/>
        <c:spPr>
          <a:solidFill>
            <a:schemeClr val="accent1"/>
          </a:solidFill>
          <a:ln w="28575" cap="rnd">
            <a:solidFill>
              <a:schemeClr val="accent1">
                <a:lumMod val="50000"/>
              </a:schemeClr>
            </a:solidFill>
            <a:round/>
          </a:ln>
          <a:effectLst/>
        </c:spPr>
        <c:marker>
          <c:symbol val="none"/>
        </c:marker>
      </c:pivotFmt>
      <c:pivotFmt>
        <c:idx val="31"/>
        <c:spPr>
          <a:ln w="28575"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235733"/>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235733"/>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235733"/>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235733"/>
            </a:solidFill>
            <a:round/>
          </a:ln>
          <a:effectLst/>
        </c:spPr>
        <c:marker>
          <c:symbol val="none"/>
        </c:marker>
      </c:pivotFmt>
      <c:pivotFmt>
        <c:idx val="36"/>
        <c:spPr>
          <a:ln w="28575" cap="rnd">
            <a:solidFill>
              <a:srgbClr val="235733"/>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235733"/>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Ship Cities'!$B$3</c:f>
              <c:strCache>
                <c:ptCount val="1"/>
                <c:pt idx="0">
                  <c:v>Total</c:v>
                </c:pt>
              </c:strCache>
            </c:strRef>
          </c:tx>
          <c:spPr>
            <a:ln w="28575" cap="rnd">
              <a:solidFill>
                <a:srgbClr val="235733"/>
              </a:solidFill>
              <a:round/>
            </a:ln>
            <a:effectLst/>
          </c:spPr>
          <c:marker>
            <c:symbol val="none"/>
          </c:marker>
          <c:dPt>
            <c:idx val="0"/>
            <c:marker>
              <c:symbol val="none"/>
            </c:marker>
            <c:bubble3D val="0"/>
            <c:spPr>
              <a:ln w="28575" cap="rnd">
                <a:solidFill>
                  <a:srgbClr val="235733"/>
                </a:solidFill>
                <a:round/>
              </a:ln>
              <a:effectLst/>
            </c:spPr>
            <c:extLst>
              <c:ext xmlns:c16="http://schemas.microsoft.com/office/drawing/2014/chart" uri="{C3380CC4-5D6E-409C-BE32-E72D297353CC}">
                <c16:uniqueId val="{00000001-4912-4303-AFC6-7BCB023F1574}"/>
              </c:ext>
            </c:extLst>
          </c:dPt>
          <c:dPt>
            <c:idx val="1"/>
            <c:marker>
              <c:symbol val="none"/>
            </c:marker>
            <c:bubble3D val="0"/>
            <c:spPr>
              <a:ln w="28575" cap="rnd">
                <a:solidFill>
                  <a:srgbClr val="235733"/>
                </a:solidFill>
                <a:round/>
              </a:ln>
              <a:effectLst/>
            </c:spPr>
            <c:extLst>
              <c:ext xmlns:c16="http://schemas.microsoft.com/office/drawing/2014/chart" uri="{C3380CC4-5D6E-409C-BE32-E72D297353CC}">
                <c16:uniqueId val="{00000003-4912-4303-AFC6-7BCB023F1574}"/>
              </c:ext>
            </c:extLst>
          </c:dPt>
          <c:dPt>
            <c:idx val="2"/>
            <c:marker>
              <c:symbol val="none"/>
            </c:marker>
            <c:bubble3D val="0"/>
            <c:spPr>
              <a:ln w="28575" cap="rnd">
                <a:solidFill>
                  <a:srgbClr val="235733"/>
                </a:solidFill>
                <a:round/>
              </a:ln>
              <a:effectLst/>
            </c:spPr>
            <c:extLst>
              <c:ext xmlns:c16="http://schemas.microsoft.com/office/drawing/2014/chart" uri="{C3380CC4-5D6E-409C-BE32-E72D297353CC}">
                <c16:uniqueId val="{00000005-4912-4303-AFC6-7BCB023F1574}"/>
              </c:ext>
            </c:extLst>
          </c:dPt>
          <c:dPt>
            <c:idx val="3"/>
            <c:marker>
              <c:symbol val="none"/>
            </c:marker>
            <c:bubble3D val="0"/>
            <c:spPr>
              <a:ln w="28575" cap="rnd">
                <a:solidFill>
                  <a:srgbClr val="235733"/>
                </a:solidFill>
                <a:round/>
              </a:ln>
              <a:effectLst/>
            </c:spPr>
            <c:extLst>
              <c:ext xmlns:c16="http://schemas.microsoft.com/office/drawing/2014/chart" uri="{C3380CC4-5D6E-409C-BE32-E72D297353CC}">
                <c16:uniqueId val="{00000007-4912-4303-AFC6-7BCB023F1574}"/>
              </c:ext>
            </c:extLst>
          </c:dPt>
          <c:dPt>
            <c:idx val="4"/>
            <c:marker>
              <c:symbol val="none"/>
            </c:marker>
            <c:bubble3D val="0"/>
            <c:spPr>
              <a:ln w="28575" cap="rnd">
                <a:solidFill>
                  <a:srgbClr val="235733"/>
                </a:solidFill>
                <a:round/>
              </a:ln>
              <a:effectLst/>
            </c:spPr>
            <c:extLst>
              <c:ext xmlns:c16="http://schemas.microsoft.com/office/drawing/2014/chart" uri="{C3380CC4-5D6E-409C-BE32-E72D297353CC}">
                <c16:uniqueId val="{00000009-4912-4303-AFC6-7BCB023F1574}"/>
              </c:ext>
            </c:extLst>
          </c:dPt>
          <c:dPt>
            <c:idx val="5"/>
            <c:marker>
              <c:symbol val="none"/>
            </c:marker>
            <c:bubble3D val="0"/>
            <c:spPr>
              <a:ln w="28575" cap="rnd">
                <a:solidFill>
                  <a:srgbClr val="235733"/>
                </a:solidFill>
                <a:round/>
              </a:ln>
              <a:effectLst/>
            </c:spPr>
            <c:extLst>
              <c:ext xmlns:c16="http://schemas.microsoft.com/office/drawing/2014/chart" uri="{C3380CC4-5D6E-409C-BE32-E72D297353CC}">
                <c16:uniqueId val="{0000000B-4912-4303-AFC6-7BCB023F1574}"/>
              </c:ext>
            </c:extLst>
          </c:dPt>
          <c:dLbls>
            <c:dLbl>
              <c:idx val="0"/>
              <c:layout>
                <c:manualLayout>
                  <c:x val="0.18499132483855502"/>
                  <c:y val="-3.8647323393904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12-4303-AFC6-7BCB023F1574}"/>
                </c:ext>
              </c:extLst>
            </c:dLbl>
            <c:dLbl>
              <c:idx val="1"/>
              <c:layout>
                <c:manualLayout>
                  <c:x val="0.14659689892866634"/>
                  <c:y val="-9.6618308484761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12-4303-AFC6-7BCB023F1574}"/>
                </c:ext>
              </c:extLst>
            </c:dLbl>
            <c:dLbl>
              <c:idx val="2"/>
              <c:layout>
                <c:manualLayout>
                  <c:x val="0.15008730128411077"/>
                  <c:y val="-2.57648822626031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12-4303-AFC6-7BCB023F1574}"/>
                </c:ext>
              </c:extLst>
            </c:dLbl>
            <c:dLbl>
              <c:idx val="4"/>
              <c:layout>
                <c:manualLayout>
                  <c:x val="-0.1047120706633331"/>
                  <c:y val="-1.932366169695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12-4303-AFC6-7BCB023F1574}"/>
                </c:ext>
              </c:extLst>
            </c:dLbl>
            <c:dLbl>
              <c:idx val="5"/>
              <c:layout>
                <c:manualLayout>
                  <c:x val="-0.13612569186233306"/>
                  <c:y val="1.2882441131301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12-4303-AFC6-7BCB023F15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Ship Cities'!$A$4:$A$10</c:f>
              <c:strCache>
                <c:ptCount val="6"/>
                <c:pt idx="0">
                  <c:v>New York</c:v>
                </c:pt>
                <c:pt idx="1">
                  <c:v>Portland</c:v>
                </c:pt>
                <c:pt idx="2">
                  <c:v>Miami</c:v>
                </c:pt>
                <c:pt idx="3">
                  <c:v>Memphis</c:v>
                </c:pt>
                <c:pt idx="4">
                  <c:v>Chicago</c:v>
                </c:pt>
                <c:pt idx="5">
                  <c:v>Milwaukee</c:v>
                </c:pt>
              </c:strCache>
            </c:strRef>
          </c:cat>
          <c:val>
            <c:numRef>
              <c:f>'Top Ship Cities'!$B$4:$B$10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4912-4303-AFC6-7BCB023F1574}"/>
            </c:ext>
          </c:extLst>
        </c:ser>
        <c:dLbls>
          <c:showLegendKey val="0"/>
          <c:showVal val="1"/>
          <c:showCatName val="0"/>
          <c:showSerName val="0"/>
          <c:showPercent val="0"/>
          <c:showBubbleSize val="0"/>
        </c:dLbls>
        <c:axId val="436954888"/>
        <c:axId val="347251216"/>
      </c:radarChart>
      <c:valAx>
        <c:axId val="34725121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436954888"/>
        <c:crosses val="autoZero"/>
        <c:crossBetween val="between"/>
      </c:valAx>
      <c:catAx>
        <c:axId val="436954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72512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CHIBUIKEM.xlsx]Cities Performance!PivotTable1</c:name>
    <c:fmtId val="12"/>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sz="1200" b="1">
                <a:solidFill>
                  <a:srgbClr val="235733"/>
                </a:solidFill>
                <a:latin typeface="Century Gothic" panose="020B0502020202020204" pitchFamily="34" charset="0"/>
              </a:rPr>
              <a:t>Cities</a:t>
            </a:r>
            <a:r>
              <a:rPr lang="en-US" sz="1200" b="1" baseline="0">
                <a:solidFill>
                  <a:srgbClr val="235733"/>
                </a:solidFill>
                <a:latin typeface="Century Gothic" panose="020B0502020202020204" pitchFamily="34" charset="0"/>
              </a:rPr>
              <a:t> Performance By Revenue</a:t>
            </a:r>
          </a:p>
        </c:rich>
      </c:tx>
      <c:layout>
        <c:manualLayout>
          <c:xMode val="edge"/>
          <c:yMode val="edge"/>
          <c:x val="6.9084628670120895E-3"/>
          <c:y val="3.3500586898806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75000"/>
            </a:schemeClr>
          </a:solidFill>
          <a:ln w="19050">
            <a:noFill/>
          </a:ln>
          <a:effectLst/>
        </c:spPr>
      </c:pivotFmt>
      <c:pivotFmt>
        <c:idx val="11"/>
        <c:spPr>
          <a:solidFill>
            <a:schemeClr val="accent1">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accent1">
              <a:lumMod val="20000"/>
              <a:lumOff val="80000"/>
            </a:schemeClr>
          </a:solidFill>
          <a:ln w="19050">
            <a:noFill/>
          </a:ln>
          <a:effectLst/>
        </c:spPr>
      </c:pivotFmt>
      <c:pivotFmt>
        <c:idx val="1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noFill/>
          </a:ln>
          <a:effectLst/>
        </c:spPr>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75000"/>
            </a:schemeClr>
          </a:solidFill>
          <a:ln w="19050">
            <a:noFill/>
          </a:ln>
          <a:effectLst/>
        </c:spPr>
      </c:pivotFmt>
      <c:pivotFmt>
        <c:idx val="19"/>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D8F0DF"/>
          </a:solidFill>
          <a:ln w="19050">
            <a:noFill/>
          </a:ln>
          <a:effectLst/>
        </c:spPr>
      </c:pivotFmt>
      <c:pivotFmt>
        <c:idx val="21"/>
        <c:spPr>
          <a:solidFill>
            <a:srgbClr val="7CCA94"/>
          </a:solidFill>
          <a:ln w="19050">
            <a:noFill/>
          </a:ln>
          <a:effectLst/>
        </c:spPr>
      </c:pivotFmt>
      <c:pivotFmt>
        <c:idx val="22"/>
        <c:spPr>
          <a:solidFill>
            <a:srgbClr val="46B067"/>
          </a:solidFill>
          <a:ln w="19050">
            <a:noFill/>
          </a:ln>
          <a:effectLst/>
        </c:spPr>
      </c:pivotFmt>
      <c:pivotFmt>
        <c:idx val="23"/>
        <c:spPr>
          <a:solidFill>
            <a:srgbClr val="36864F"/>
          </a:solidFill>
          <a:ln w="19050">
            <a:noFill/>
          </a:ln>
          <a:effectLst/>
        </c:spPr>
      </c:pivotFmt>
    </c:pivotFmts>
    <c:plotArea>
      <c:layout/>
      <c:barChart>
        <c:barDir val="bar"/>
        <c:grouping val="clustered"/>
        <c:varyColors val="0"/>
        <c:ser>
          <c:idx val="0"/>
          <c:order val="0"/>
          <c:tx>
            <c:strRef>
              <c:f>'Cities Performance'!$B$3</c:f>
              <c:strCache>
                <c:ptCount val="1"/>
                <c:pt idx="0">
                  <c:v>Total</c:v>
                </c:pt>
              </c:strCache>
            </c:strRef>
          </c:tx>
          <c:spPr>
            <a:solidFill>
              <a:srgbClr val="235733"/>
            </a:solidFill>
            <a:ln w="19050">
              <a:noFill/>
            </a:ln>
            <a:effectLst/>
          </c:spPr>
          <c:invertIfNegative val="0"/>
          <c:dPt>
            <c:idx val="0"/>
            <c:invertIfNegative val="0"/>
            <c:bubble3D val="0"/>
            <c:spPr>
              <a:solidFill>
                <a:srgbClr val="D8F0DF"/>
              </a:solidFill>
              <a:ln w="19050">
                <a:noFill/>
              </a:ln>
              <a:effectLst/>
            </c:spPr>
            <c:extLst>
              <c:ext xmlns:c16="http://schemas.microsoft.com/office/drawing/2014/chart" uri="{C3380CC4-5D6E-409C-BE32-E72D297353CC}">
                <c16:uniqueId val="{00000001-DD95-4280-8743-ED66DEB3AD27}"/>
              </c:ext>
            </c:extLst>
          </c:dPt>
          <c:dPt>
            <c:idx val="1"/>
            <c:invertIfNegative val="0"/>
            <c:bubble3D val="0"/>
            <c:spPr>
              <a:solidFill>
                <a:srgbClr val="7CCA94"/>
              </a:solidFill>
              <a:ln w="19050">
                <a:noFill/>
              </a:ln>
              <a:effectLst/>
            </c:spPr>
            <c:extLst>
              <c:ext xmlns:c16="http://schemas.microsoft.com/office/drawing/2014/chart" uri="{C3380CC4-5D6E-409C-BE32-E72D297353CC}">
                <c16:uniqueId val="{00000003-DD95-4280-8743-ED66DEB3AD27}"/>
              </c:ext>
            </c:extLst>
          </c:dPt>
          <c:dPt>
            <c:idx val="2"/>
            <c:invertIfNegative val="0"/>
            <c:bubble3D val="0"/>
            <c:spPr>
              <a:solidFill>
                <a:srgbClr val="46B067"/>
              </a:solidFill>
              <a:ln w="19050">
                <a:noFill/>
              </a:ln>
              <a:effectLst/>
            </c:spPr>
            <c:extLst>
              <c:ext xmlns:c16="http://schemas.microsoft.com/office/drawing/2014/chart" uri="{C3380CC4-5D6E-409C-BE32-E72D297353CC}">
                <c16:uniqueId val="{00000005-DD95-4280-8743-ED66DEB3AD27}"/>
              </c:ext>
            </c:extLst>
          </c:dPt>
          <c:dPt>
            <c:idx val="3"/>
            <c:invertIfNegative val="0"/>
            <c:bubble3D val="0"/>
            <c:spPr>
              <a:solidFill>
                <a:srgbClr val="36864F"/>
              </a:solidFill>
              <a:ln w="19050">
                <a:noFill/>
              </a:ln>
              <a:effectLst/>
            </c:spPr>
            <c:extLst>
              <c:ext xmlns:c16="http://schemas.microsoft.com/office/drawing/2014/chart" uri="{C3380CC4-5D6E-409C-BE32-E72D297353CC}">
                <c16:uniqueId val="{00000007-DD95-4280-8743-ED66DEB3AD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 Performance'!$A$4:$A$9</c:f>
              <c:strCache>
                <c:ptCount val="5"/>
                <c:pt idx="0">
                  <c:v>Chicago</c:v>
                </c:pt>
                <c:pt idx="1">
                  <c:v>Memphis</c:v>
                </c:pt>
                <c:pt idx="2">
                  <c:v>Miami</c:v>
                </c:pt>
                <c:pt idx="3">
                  <c:v>Portland</c:v>
                </c:pt>
                <c:pt idx="4">
                  <c:v>New York</c:v>
                </c:pt>
              </c:strCache>
            </c:strRef>
          </c:cat>
          <c:val>
            <c:numRef>
              <c:f>'Cities Performance'!$B$4:$B$9</c:f>
              <c:numCache>
                <c:formatCode>"$"#,##0.00</c:formatCode>
                <c:ptCount val="5"/>
                <c:pt idx="0">
                  <c:v>41095.01</c:v>
                </c:pt>
                <c:pt idx="1">
                  <c:v>43713</c:v>
                </c:pt>
                <c:pt idx="2">
                  <c:v>50145.330000000009</c:v>
                </c:pt>
                <c:pt idx="3">
                  <c:v>50208.35</c:v>
                </c:pt>
                <c:pt idx="4">
                  <c:v>67180.5</c:v>
                </c:pt>
              </c:numCache>
            </c:numRef>
          </c:val>
          <c:extLst>
            <c:ext xmlns:c16="http://schemas.microsoft.com/office/drawing/2014/chart" uri="{C3380CC4-5D6E-409C-BE32-E72D297353CC}">
              <c16:uniqueId val="{00000008-DD95-4280-8743-ED66DEB3AD27}"/>
            </c:ext>
          </c:extLst>
        </c:ser>
        <c:dLbls>
          <c:showLegendKey val="0"/>
          <c:showVal val="0"/>
          <c:showCatName val="0"/>
          <c:showSerName val="0"/>
          <c:showPercent val="0"/>
          <c:showBubbleSize val="0"/>
        </c:dLbls>
        <c:gapWidth val="20"/>
        <c:axId val="436954888"/>
        <c:axId val="347251216"/>
      </c:barChart>
      <c:valAx>
        <c:axId val="34725121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436954888"/>
        <c:crosses val="autoZero"/>
        <c:crossBetween val="between"/>
      </c:valAx>
      <c:catAx>
        <c:axId val="436954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72512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By Region!PivotTable1</c:name>
    <c:fmtId val="11"/>
  </c:pivotSource>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235733"/>
          </a:solidFill>
          <a:ln w="19050">
            <a:noFill/>
          </a:ln>
          <a:effectLst/>
        </c:spPr>
        <c:dLbl>
          <c:idx val="0"/>
          <c:layout>
            <c:manualLayout>
              <c:x val="6.1939690301548493E-2"/>
              <c:y val="0.11157607242341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36864F"/>
          </a:solidFill>
          <a:ln w="19050">
            <a:noFill/>
          </a:ln>
          <a:effectLst/>
        </c:spPr>
        <c:dLbl>
          <c:idx val="0"/>
          <c:layout>
            <c:manualLayout>
              <c:x val="0.10431947840260798"/>
              <c:y val="-6.2761540738170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6B067"/>
          </a:solidFill>
          <a:ln w="19050">
            <a:noFill/>
          </a:ln>
          <a:effectLst/>
        </c:spPr>
        <c:dLbl>
          <c:idx val="0"/>
          <c:layout>
            <c:manualLayout>
              <c:x val="-4.8899755501222525E-2"/>
              <c:y val="2.0920513579390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76C88F"/>
          </a:solidFill>
          <a:ln w="19050">
            <a:noFill/>
          </a:ln>
          <a:effectLst/>
        </c:spPr>
        <c:dLbl>
          <c:idx val="0"/>
          <c:layout>
            <c:manualLayout>
              <c:x val="-8.4759576202118964E-2"/>
              <c:y val="9.0655558844023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spPr>
            <a:solidFill>
              <a:srgbClr val="235733"/>
            </a:solidFill>
            <a:ln>
              <a:noFill/>
            </a:ln>
          </c:spPr>
          <c:explosion val="2"/>
          <c:dPt>
            <c:idx val="0"/>
            <c:bubble3D val="0"/>
            <c:spPr>
              <a:solidFill>
                <a:srgbClr val="235733"/>
              </a:solidFill>
              <a:ln w="19050">
                <a:noFill/>
              </a:ln>
              <a:effectLst/>
            </c:spPr>
            <c:extLst>
              <c:ext xmlns:c16="http://schemas.microsoft.com/office/drawing/2014/chart" uri="{C3380CC4-5D6E-409C-BE32-E72D297353CC}">
                <c16:uniqueId val="{00000001-7672-4A20-8411-06C9CF9DDD65}"/>
              </c:ext>
            </c:extLst>
          </c:dPt>
          <c:dPt>
            <c:idx val="1"/>
            <c:bubble3D val="0"/>
            <c:spPr>
              <a:solidFill>
                <a:srgbClr val="36864F"/>
              </a:solidFill>
              <a:ln w="19050">
                <a:noFill/>
              </a:ln>
              <a:effectLst/>
            </c:spPr>
            <c:extLst>
              <c:ext xmlns:c16="http://schemas.microsoft.com/office/drawing/2014/chart" uri="{C3380CC4-5D6E-409C-BE32-E72D297353CC}">
                <c16:uniqueId val="{00000003-7672-4A20-8411-06C9CF9DDD65}"/>
              </c:ext>
            </c:extLst>
          </c:dPt>
          <c:dPt>
            <c:idx val="2"/>
            <c:bubble3D val="0"/>
            <c:spPr>
              <a:solidFill>
                <a:srgbClr val="46B067"/>
              </a:solidFill>
              <a:ln w="19050">
                <a:noFill/>
              </a:ln>
              <a:effectLst/>
            </c:spPr>
            <c:extLst>
              <c:ext xmlns:c16="http://schemas.microsoft.com/office/drawing/2014/chart" uri="{C3380CC4-5D6E-409C-BE32-E72D297353CC}">
                <c16:uniqueId val="{00000005-7672-4A20-8411-06C9CF9DDD65}"/>
              </c:ext>
            </c:extLst>
          </c:dPt>
          <c:dPt>
            <c:idx val="3"/>
            <c:bubble3D val="0"/>
            <c:explosion val="0"/>
            <c:spPr>
              <a:solidFill>
                <a:srgbClr val="76C88F"/>
              </a:solidFill>
              <a:ln w="19050">
                <a:noFill/>
              </a:ln>
              <a:effectLst/>
            </c:spPr>
            <c:extLst>
              <c:ext xmlns:c16="http://schemas.microsoft.com/office/drawing/2014/chart" uri="{C3380CC4-5D6E-409C-BE32-E72D297353CC}">
                <c16:uniqueId val="{00000007-7672-4A20-8411-06C9CF9DDD65}"/>
              </c:ext>
            </c:extLst>
          </c:dPt>
          <c:dLbls>
            <c:dLbl>
              <c:idx val="0"/>
              <c:layout>
                <c:manualLayout>
                  <c:x val="6.1939690301548493E-2"/>
                  <c:y val="0.1115760724234135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72-4A20-8411-06C9CF9DDD65}"/>
                </c:ext>
              </c:extLst>
            </c:dLbl>
            <c:dLbl>
              <c:idx val="1"/>
              <c:layout>
                <c:manualLayout>
                  <c:x val="0.10431947840260798"/>
                  <c:y val="-6.276154073817016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72-4A20-8411-06C9CF9DDD65}"/>
                </c:ext>
              </c:extLst>
            </c:dLbl>
            <c:dLbl>
              <c:idx val="2"/>
              <c:layout>
                <c:manualLayout>
                  <c:x val="-4.8899755501222525E-2"/>
                  <c:y val="2.092051357939005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72-4A20-8411-06C9CF9DDD65}"/>
                </c:ext>
              </c:extLst>
            </c:dLbl>
            <c:dLbl>
              <c:idx val="3"/>
              <c:layout>
                <c:manualLayout>
                  <c:x val="-8.4759576202118964E-2"/>
                  <c:y val="9.0655558844023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72-4A20-8411-06C9CF9DDD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7672-4A20-8411-06C9CF9DDD6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CHIBUIKEM.xlsx]Top Ship Cities!PivotTable1</c:name>
    <c:fmtId val="19"/>
  </c:pivotSource>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75000"/>
            </a:schemeClr>
          </a:solidFill>
          <a:ln w="19050">
            <a:noFill/>
          </a:ln>
          <a:effectLst/>
        </c:spPr>
      </c:pivotFmt>
      <c:pivotFmt>
        <c:idx val="11"/>
        <c:spPr>
          <a:solidFill>
            <a:schemeClr val="accent1">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accent1">
              <a:lumMod val="20000"/>
              <a:lumOff val="80000"/>
            </a:schemeClr>
          </a:solidFill>
          <a:ln w="19050">
            <a:noFill/>
          </a:ln>
          <a:effectLst/>
        </c:spPr>
      </c:pivotFmt>
      <c:pivotFmt>
        <c:idx val="1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noFill/>
          </a:ln>
          <a:effectLst/>
        </c:spPr>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75000"/>
            </a:schemeClr>
          </a:solidFill>
          <a:ln w="19050">
            <a:noFill/>
          </a:ln>
          <a:effectLst/>
        </c:spPr>
      </c:pivotFmt>
      <c:pivotFmt>
        <c:idx val="19"/>
        <c:spPr>
          <a:solidFill>
            <a:schemeClr val="accent1"/>
          </a:solidFill>
          <a:ln w="28575" cap="rnd">
            <a:solidFill>
              <a:schemeClr val="accent1">
                <a:lumMod val="50000"/>
              </a:schemeClr>
            </a:solidFill>
            <a:round/>
          </a:ln>
          <a:effectLst/>
        </c:spPr>
        <c:marker>
          <c:symbol val="none"/>
        </c:marker>
      </c:pivotFmt>
      <c:pivotFmt>
        <c:idx val="20"/>
        <c:spPr>
          <a:solidFill>
            <a:schemeClr val="accent1"/>
          </a:solidFill>
          <a:ln w="28575" cap="rnd">
            <a:solidFill>
              <a:schemeClr val="accent1">
                <a:lumMod val="50000"/>
              </a:schemeClr>
            </a:solidFill>
            <a:round/>
          </a:ln>
          <a:effectLst/>
        </c:spPr>
        <c:marker>
          <c:symbol val="none"/>
        </c:marker>
      </c:pivotFmt>
      <c:pivotFmt>
        <c:idx val="21"/>
        <c:spPr>
          <a:solidFill>
            <a:schemeClr val="accent1"/>
          </a:solidFill>
          <a:ln w="28575" cap="rnd">
            <a:solidFill>
              <a:schemeClr val="accent1">
                <a:lumMod val="50000"/>
              </a:schemeClr>
            </a:solidFill>
            <a:round/>
          </a:ln>
          <a:effectLst/>
        </c:spPr>
        <c:marker>
          <c:symbol val="none"/>
        </c:marker>
      </c:pivotFmt>
      <c:pivotFmt>
        <c:idx val="22"/>
        <c:spPr>
          <a:solidFill>
            <a:schemeClr val="accent1"/>
          </a:solidFill>
          <a:ln w="28575" cap="rnd">
            <a:solidFill>
              <a:schemeClr val="accent1">
                <a:lumMod val="50000"/>
              </a:schemeClr>
            </a:solidFill>
            <a:round/>
          </a:ln>
          <a:effectLst/>
        </c:spPr>
        <c:marker>
          <c:symbol val="none"/>
        </c:marker>
      </c:pivotFmt>
      <c:pivotFmt>
        <c:idx val="23"/>
        <c:spPr>
          <a:solidFill>
            <a:schemeClr val="accent1"/>
          </a:solidFill>
          <a:ln w="28575" cap="rnd">
            <a:solidFill>
              <a:schemeClr val="accent1">
                <a:lumMod val="50000"/>
              </a:schemeClr>
            </a:solidFill>
            <a:round/>
          </a:ln>
          <a:effectLst/>
        </c:spPr>
        <c:marker>
          <c:symbol val="none"/>
        </c:marker>
      </c:pivotFmt>
      <c:pivotFmt>
        <c:idx val="2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lumMod val="50000"/>
              </a:schemeClr>
            </a:solidFill>
            <a:round/>
          </a:ln>
          <a:effectLst/>
        </c:spPr>
        <c:marker>
          <c:symbol val="none"/>
        </c:marker>
      </c:pivotFmt>
      <c:pivotFmt>
        <c:idx val="26"/>
        <c:spPr>
          <a:solidFill>
            <a:schemeClr val="accent1"/>
          </a:solidFill>
          <a:ln w="28575" cap="rnd">
            <a:solidFill>
              <a:schemeClr val="accent1">
                <a:lumMod val="50000"/>
              </a:schemeClr>
            </a:solidFill>
            <a:round/>
          </a:ln>
          <a:effectLst/>
        </c:spPr>
        <c:marker>
          <c:symbol val="none"/>
        </c:marker>
      </c:pivotFmt>
      <c:pivotFmt>
        <c:idx val="27"/>
        <c:spPr>
          <a:solidFill>
            <a:schemeClr val="accent1"/>
          </a:solidFill>
          <a:ln w="28575" cap="rnd">
            <a:solidFill>
              <a:schemeClr val="accent1">
                <a:lumMod val="50000"/>
              </a:schemeClr>
            </a:solidFill>
            <a:round/>
          </a:ln>
          <a:effectLst/>
        </c:spPr>
        <c:marker>
          <c:symbol val="none"/>
        </c:marker>
      </c:pivotFmt>
      <c:pivotFmt>
        <c:idx val="28"/>
        <c:spPr>
          <a:solidFill>
            <a:schemeClr val="accent1"/>
          </a:solidFill>
          <a:ln w="28575" cap="rnd">
            <a:solidFill>
              <a:schemeClr val="accent1">
                <a:lumMod val="50000"/>
              </a:schemeClr>
            </a:solidFill>
            <a:round/>
          </a:ln>
          <a:effectLst/>
        </c:spPr>
        <c:marker>
          <c:symbol val="none"/>
        </c:marker>
      </c:pivotFmt>
      <c:pivotFmt>
        <c:idx val="29"/>
        <c:spPr>
          <a:solidFill>
            <a:schemeClr val="accent1"/>
          </a:solidFill>
          <a:ln w="28575" cap="rnd">
            <a:solidFill>
              <a:schemeClr val="accent1">
                <a:lumMod val="50000"/>
              </a:schemeClr>
            </a:solidFill>
            <a:round/>
          </a:ln>
          <a:effectLst/>
        </c:spPr>
        <c:marker>
          <c:symbol val="none"/>
        </c:marker>
      </c:pivotFmt>
      <c:pivotFmt>
        <c:idx val="30"/>
        <c:spPr>
          <a:solidFill>
            <a:schemeClr val="accent1"/>
          </a:solidFill>
          <a:ln w="28575" cap="rnd">
            <a:solidFill>
              <a:schemeClr val="accent1">
                <a:lumMod val="50000"/>
              </a:schemeClr>
            </a:solidFill>
            <a:round/>
          </a:ln>
          <a:effectLst/>
        </c:spPr>
        <c:marker>
          <c:symbol val="none"/>
        </c:marker>
      </c:pivotFmt>
      <c:pivotFmt>
        <c:idx val="31"/>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lumMod val="50000"/>
              </a:schemeClr>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lumMod val="50000"/>
              </a:schemeClr>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lumMod val="50000"/>
              </a:schemeClr>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lumMod val="50000"/>
              </a:schemeClr>
            </a:solidFill>
            <a:round/>
          </a:ln>
          <a:effectLst/>
        </c:spPr>
        <c:marker>
          <c:symbol val="none"/>
        </c:marker>
      </c:pivotFmt>
      <c:pivotFmt>
        <c:idx val="36"/>
        <c:spPr>
          <a:solidFill>
            <a:schemeClr val="accent1"/>
          </a:solidFill>
          <a:ln w="28575" cap="rnd">
            <a:solidFill>
              <a:schemeClr val="accent1">
                <a:lumMod val="50000"/>
              </a:schemeClr>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lumMod val="50000"/>
              </a:schemeClr>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lumMod val="50000"/>
              </a:schemeClr>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lumMod val="50000"/>
              </a:schemeClr>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lumMod val="50000"/>
              </a:schemeClr>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lumMod val="50000"/>
              </a:schemeClr>
            </a:solidFill>
            <a:round/>
          </a:ln>
          <a:effectLst/>
        </c:spPr>
        <c:marker>
          <c:symbol val="none"/>
        </c:marker>
      </c:pivotFmt>
      <c:pivotFmt>
        <c:idx val="43"/>
        <c:spPr>
          <a:solidFill>
            <a:schemeClr val="accent1"/>
          </a:solidFill>
          <a:ln w="28575" cap="rnd">
            <a:solidFill>
              <a:schemeClr val="accent1">
                <a:lumMod val="50000"/>
              </a:schemeClr>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lumMod val="50000"/>
              </a:schemeClr>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lumMod val="50000"/>
              </a:schemeClr>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lumMod val="50000"/>
              </a:schemeClr>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lumMod val="50000"/>
              </a:schemeClr>
            </a:solidFill>
            <a:round/>
          </a:ln>
          <a:effectLst/>
        </c:spPr>
        <c:marker>
          <c:symbol val="none"/>
        </c:marker>
      </c:pivotFmt>
      <c:pivotFmt>
        <c:idx val="50"/>
        <c:spPr>
          <a:solidFill>
            <a:schemeClr val="accent1"/>
          </a:solidFill>
          <a:ln w="28575" cap="rnd">
            <a:solidFill>
              <a:schemeClr val="accent1">
                <a:lumMod val="50000"/>
              </a:schemeClr>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lumMod val="50000"/>
              </a:schemeClr>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lumMod val="50000"/>
              </a:schemeClr>
            </a:solidFill>
            <a:round/>
          </a:ln>
          <a:effectLst/>
        </c:spP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lumMod val="50000"/>
              </a:schemeClr>
            </a:solidFill>
            <a:round/>
          </a:ln>
          <a:effectLst/>
        </c:spP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lumMod val="50000"/>
              </a:schemeClr>
            </a:solidFill>
            <a:round/>
          </a:ln>
          <a:effectLst/>
        </c:spP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lumMod val="50000"/>
              </a:schemeClr>
            </a:solidFill>
            <a:round/>
          </a:ln>
          <a:effectLst/>
        </c:spPr>
      </c:pivotFmt>
      <c:pivotFmt>
        <c:idx val="57"/>
        <c:spPr>
          <a:solidFill>
            <a:schemeClr val="accent1"/>
          </a:solidFill>
          <a:ln w="28575" cap="rnd">
            <a:solidFill>
              <a:schemeClr val="accent1">
                <a:lumMod val="50000"/>
              </a:schemeClr>
            </a:solidFill>
            <a:round/>
          </a:ln>
          <a:effectLst/>
        </c:spP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lumMod val="50000"/>
              </a:schemeClr>
            </a:solidFill>
            <a:round/>
          </a:ln>
          <a:effectLst/>
        </c:spP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235733"/>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0"/>
        <c:spPr>
          <a:solidFill>
            <a:srgbClr val="235733"/>
          </a:solidFill>
          <a:ln w="28575" cap="rnd">
            <a:noFill/>
            <a:round/>
          </a:ln>
          <a:effectLst/>
        </c:spP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1"/>
        <c:spPr>
          <a:solidFill>
            <a:srgbClr val="2D7142"/>
          </a:solidFill>
          <a:ln w="28575" cap="rnd">
            <a:noFill/>
            <a:round/>
          </a:ln>
          <a:effectLst/>
        </c:spPr>
        <c:dLbl>
          <c:idx val="0"/>
          <c:layout>
            <c:manualLayout>
              <c:x val="0.19546253190488846"/>
              <c:y val="2.77784455139403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2"/>
        <c:spPr>
          <a:solidFill>
            <a:srgbClr val="36864F"/>
          </a:solidFill>
          <a:ln w="28575" cap="rnd">
            <a:noFill/>
            <a:round/>
          </a:ln>
          <a:effectLst/>
        </c:spPr>
        <c:dLbl>
          <c:idx val="0"/>
          <c:layout>
            <c:manualLayout>
              <c:x val="0.18150092248311059"/>
              <c:y val="0.13752930041810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3"/>
        <c:spPr>
          <a:solidFill>
            <a:srgbClr val="46B067"/>
          </a:solidFill>
          <a:ln w="28575" cap="rnd">
            <a:noFill/>
            <a:round/>
          </a:ln>
          <a:effectLst/>
        </c:spPr>
        <c:dLbl>
          <c:idx val="0"/>
          <c:layout>
            <c:manualLayout>
              <c:x val="-0.20244333661577732"/>
              <c:y val="0.177493589266976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4"/>
        <c:spPr>
          <a:solidFill>
            <a:srgbClr val="76C88F"/>
          </a:solidFill>
          <a:ln w="28575" cap="rnd">
            <a:noFill/>
            <a:round/>
          </a:ln>
          <a:effectLst/>
        </c:spPr>
        <c:dLbl>
          <c:idx val="0"/>
          <c:layout>
            <c:manualLayout>
              <c:x val="-0.2094241413266662"/>
              <c:y val="0.143970500844981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5"/>
        <c:spPr>
          <a:solidFill>
            <a:srgbClr val="9AD6AD"/>
          </a:solidFill>
          <a:ln w="28575" cap="rnd">
            <a:noFill/>
            <a:round/>
          </a:ln>
          <a:effectLst/>
        </c:spPr>
        <c:dLbl>
          <c:idx val="0"/>
          <c:layout>
            <c:manualLayout>
              <c:x val="-0.1815009224831107"/>
              <c:y val="-0.11491298341846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Ship Cities'!$B$3</c:f>
              <c:strCache>
                <c:ptCount val="1"/>
                <c:pt idx="0">
                  <c:v>Total</c:v>
                </c:pt>
              </c:strCache>
            </c:strRef>
          </c:tx>
          <c:spPr>
            <a:solidFill>
              <a:srgbClr val="235733"/>
            </a:solidFill>
            <a:ln>
              <a:noFill/>
            </a:ln>
          </c:spPr>
          <c:explosion val="2"/>
          <c:dPt>
            <c:idx val="0"/>
            <c:bubble3D val="0"/>
            <c:spPr>
              <a:solidFill>
                <a:srgbClr val="235733"/>
              </a:solidFill>
              <a:ln w="28575" cap="rnd">
                <a:noFill/>
                <a:round/>
              </a:ln>
              <a:effectLst/>
            </c:spPr>
            <c:extLst>
              <c:ext xmlns:c16="http://schemas.microsoft.com/office/drawing/2014/chart" uri="{C3380CC4-5D6E-409C-BE32-E72D297353CC}">
                <c16:uniqueId val="{00000001-EA85-4F50-AB10-33EC59FF0541}"/>
              </c:ext>
            </c:extLst>
          </c:dPt>
          <c:dPt>
            <c:idx val="1"/>
            <c:bubble3D val="0"/>
            <c:spPr>
              <a:solidFill>
                <a:srgbClr val="2D7142"/>
              </a:solidFill>
              <a:ln w="28575" cap="rnd">
                <a:noFill/>
                <a:round/>
              </a:ln>
              <a:effectLst/>
            </c:spPr>
            <c:extLst>
              <c:ext xmlns:c16="http://schemas.microsoft.com/office/drawing/2014/chart" uri="{C3380CC4-5D6E-409C-BE32-E72D297353CC}">
                <c16:uniqueId val="{00000003-EA85-4F50-AB10-33EC59FF0541}"/>
              </c:ext>
            </c:extLst>
          </c:dPt>
          <c:dPt>
            <c:idx val="2"/>
            <c:bubble3D val="0"/>
            <c:spPr>
              <a:solidFill>
                <a:srgbClr val="36864F"/>
              </a:solidFill>
              <a:ln w="28575" cap="rnd">
                <a:noFill/>
                <a:round/>
              </a:ln>
              <a:effectLst/>
            </c:spPr>
            <c:extLst>
              <c:ext xmlns:c16="http://schemas.microsoft.com/office/drawing/2014/chart" uri="{C3380CC4-5D6E-409C-BE32-E72D297353CC}">
                <c16:uniqueId val="{00000005-EA85-4F50-AB10-33EC59FF0541}"/>
              </c:ext>
            </c:extLst>
          </c:dPt>
          <c:dPt>
            <c:idx val="3"/>
            <c:bubble3D val="0"/>
            <c:spPr>
              <a:solidFill>
                <a:srgbClr val="46B067"/>
              </a:solidFill>
              <a:ln w="28575" cap="rnd">
                <a:noFill/>
                <a:round/>
              </a:ln>
              <a:effectLst/>
            </c:spPr>
            <c:extLst>
              <c:ext xmlns:c16="http://schemas.microsoft.com/office/drawing/2014/chart" uri="{C3380CC4-5D6E-409C-BE32-E72D297353CC}">
                <c16:uniqueId val="{00000007-EA85-4F50-AB10-33EC59FF0541}"/>
              </c:ext>
            </c:extLst>
          </c:dPt>
          <c:dPt>
            <c:idx val="4"/>
            <c:bubble3D val="0"/>
            <c:spPr>
              <a:solidFill>
                <a:srgbClr val="76C88F"/>
              </a:solidFill>
              <a:ln w="28575" cap="rnd">
                <a:noFill/>
                <a:round/>
              </a:ln>
              <a:effectLst/>
            </c:spPr>
            <c:extLst>
              <c:ext xmlns:c16="http://schemas.microsoft.com/office/drawing/2014/chart" uri="{C3380CC4-5D6E-409C-BE32-E72D297353CC}">
                <c16:uniqueId val="{00000009-EA85-4F50-AB10-33EC59FF0541}"/>
              </c:ext>
            </c:extLst>
          </c:dPt>
          <c:dPt>
            <c:idx val="5"/>
            <c:bubble3D val="0"/>
            <c:spPr>
              <a:solidFill>
                <a:srgbClr val="9AD6AD"/>
              </a:solidFill>
              <a:ln w="28575" cap="rnd">
                <a:noFill/>
                <a:round/>
              </a:ln>
              <a:effectLst/>
            </c:spPr>
            <c:extLst>
              <c:ext xmlns:c16="http://schemas.microsoft.com/office/drawing/2014/chart" uri="{C3380CC4-5D6E-409C-BE32-E72D297353CC}">
                <c16:uniqueId val="{0000000B-EA85-4F50-AB10-33EC59FF0541}"/>
              </c:ext>
            </c:extLst>
          </c:dPt>
          <c:dLbls>
            <c:dLbl>
              <c:idx val="0"/>
              <c:layout>
                <c:manualLayout>
                  <c:x val="0.18499132483855502"/>
                  <c:y val="-3.86473233939045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85-4F50-AB10-33EC59FF0541}"/>
                </c:ext>
              </c:extLst>
            </c:dLbl>
            <c:dLbl>
              <c:idx val="1"/>
              <c:layout>
                <c:manualLayout>
                  <c:x val="0.19546253190488846"/>
                  <c:y val="2.777844551394037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85-4F50-AB10-33EC59FF0541}"/>
                </c:ext>
              </c:extLst>
            </c:dLbl>
            <c:dLbl>
              <c:idx val="2"/>
              <c:layout>
                <c:manualLayout>
                  <c:x val="0.18150092248311059"/>
                  <c:y val="0.13752930041810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85-4F50-AB10-33EC59FF0541}"/>
                </c:ext>
              </c:extLst>
            </c:dLbl>
            <c:dLbl>
              <c:idx val="3"/>
              <c:layout>
                <c:manualLayout>
                  <c:x val="-0.20244333661577732"/>
                  <c:y val="0.177493589266976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EA85-4F50-AB10-33EC59FF0541}"/>
                </c:ext>
              </c:extLst>
            </c:dLbl>
            <c:dLbl>
              <c:idx val="4"/>
              <c:layout>
                <c:manualLayout>
                  <c:x val="-0.2094241413266662"/>
                  <c:y val="0.143970500844981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85-4F50-AB10-33EC59FF0541}"/>
                </c:ext>
              </c:extLst>
            </c:dLbl>
            <c:dLbl>
              <c:idx val="5"/>
              <c:layout>
                <c:manualLayout>
                  <c:x val="-0.1815009224831107"/>
                  <c:y val="-0.1149129834184650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A85-4F50-AB10-33EC59FF05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Ship Cities'!$A$4:$A$10</c:f>
              <c:strCache>
                <c:ptCount val="6"/>
                <c:pt idx="0">
                  <c:v>New York</c:v>
                </c:pt>
                <c:pt idx="1">
                  <c:v>Portland</c:v>
                </c:pt>
                <c:pt idx="2">
                  <c:v>Miami</c:v>
                </c:pt>
                <c:pt idx="3">
                  <c:v>Memphis</c:v>
                </c:pt>
                <c:pt idx="4">
                  <c:v>Chicago</c:v>
                </c:pt>
                <c:pt idx="5">
                  <c:v>Milwaukee</c:v>
                </c:pt>
              </c:strCache>
            </c:strRef>
          </c:cat>
          <c:val>
            <c:numRef>
              <c:f>'Top Ship Cities'!$B$4:$B$10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EA85-4F50-AB10-33EC59FF054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By Salesperson!PivotTable1</c:name>
    <c:fmtId val="14"/>
  </c:pivotSource>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969A3"/>
          </a:solidFill>
          <a:ln w="19050">
            <a:noFill/>
          </a:ln>
          <a:effectLst/>
        </c:spPr>
      </c:pivotFmt>
      <c:pivotFmt>
        <c:idx val="24"/>
        <c:spPr>
          <a:solidFill>
            <a:srgbClr val="3B87CD"/>
          </a:solidFill>
          <a:ln w="19050">
            <a:noFill/>
          </a:ln>
          <a:effectLst/>
        </c:spPr>
      </c:pivotFmt>
      <c:pivotFmt>
        <c:idx val="25"/>
        <c:spPr>
          <a:solidFill>
            <a:srgbClr val="3B87CD"/>
          </a:solidFill>
          <a:ln w="19050">
            <a:noFill/>
          </a:ln>
          <a:effectLst/>
        </c:spPr>
      </c:pivotFmt>
      <c:pivotFmt>
        <c:idx val="26"/>
        <c:spPr>
          <a:solidFill>
            <a:srgbClr val="81B2DF"/>
          </a:solidFill>
          <a:ln w="19050">
            <a:noFill/>
          </a:ln>
          <a:effectLst/>
        </c:spPr>
      </c:pivotFmt>
      <c:pivotFmt>
        <c:idx val="27"/>
        <c:spPr>
          <a:solidFill>
            <a:schemeClr val="accent1">
              <a:lumMod val="40000"/>
              <a:lumOff val="60000"/>
            </a:schemeClr>
          </a:solidFill>
          <a:ln w="19050">
            <a:noFill/>
          </a:ln>
          <a:effectLst/>
        </c:spPr>
      </c:pivotFmt>
      <c:pivotFmt>
        <c:idx val="28"/>
        <c:spPr>
          <a:solidFill>
            <a:schemeClr val="accent1">
              <a:lumMod val="20000"/>
              <a:lumOff val="80000"/>
            </a:schemeClr>
          </a:solidFill>
          <a:ln w="19050">
            <a:noFill/>
          </a:ln>
          <a:effectLst/>
        </c:spPr>
      </c:pivotFmt>
      <c:pivotFmt>
        <c:idx val="29"/>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2969A3"/>
          </a:solidFill>
          <a:ln w="19050">
            <a:noFill/>
          </a:ln>
          <a:effectLst/>
        </c:spPr>
      </c:pivotFmt>
      <c:pivotFmt>
        <c:idx val="31"/>
        <c:spPr>
          <a:solidFill>
            <a:srgbClr val="3B87CD"/>
          </a:solidFill>
          <a:ln w="19050">
            <a:noFill/>
          </a:ln>
          <a:effectLst/>
        </c:spPr>
      </c:pivotFmt>
      <c:pivotFmt>
        <c:idx val="32"/>
        <c:spPr>
          <a:solidFill>
            <a:srgbClr val="3B87CD"/>
          </a:solidFill>
          <a:ln w="19050">
            <a:noFill/>
          </a:ln>
          <a:effectLst/>
        </c:spPr>
      </c:pivotFmt>
      <c:pivotFmt>
        <c:idx val="33"/>
        <c:spPr>
          <a:solidFill>
            <a:srgbClr val="81B2DF"/>
          </a:solidFill>
          <a:ln w="19050">
            <a:noFill/>
          </a:ln>
          <a:effectLst/>
        </c:spPr>
      </c:pivotFmt>
      <c:pivotFmt>
        <c:idx val="34"/>
        <c:spPr>
          <a:solidFill>
            <a:schemeClr val="accent1">
              <a:lumMod val="40000"/>
              <a:lumOff val="60000"/>
            </a:schemeClr>
          </a:solidFill>
          <a:ln w="19050">
            <a:noFill/>
          </a:ln>
          <a:effectLst/>
        </c:spPr>
      </c:pivotFmt>
      <c:pivotFmt>
        <c:idx val="35"/>
        <c:spPr>
          <a:solidFill>
            <a:schemeClr val="accent1">
              <a:lumMod val="20000"/>
              <a:lumOff val="80000"/>
            </a:schemeClr>
          </a:solidFill>
          <a:ln w="19050">
            <a:noFill/>
          </a:ln>
          <a:effectLst/>
        </c:spPr>
      </c:pivotFmt>
      <c:pivotFmt>
        <c:idx val="36"/>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969A3"/>
          </a:solidFill>
          <a:ln w="19050">
            <a:noFill/>
          </a:ln>
          <a:effectLst/>
        </c:spPr>
      </c:pivotFmt>
      <c:pivotFmt>
        <c:idx val="38"/>
        <c:spPr>
          <a:solidFill>
            <a:srgbClr val="3B87CD"/>
          </a:solidFill>
          <a:ln w="19050">
            <a:noFill/>
          </a:ln>
          <a:effectLst/>
        </c:spPr>
      </c:pivotFmt>
      <c:pivotFmt>
        <c:idx val="39"/>
        <c:spPr>
          <a:solidFill>
            <a:srgbClr val="3B87CD"/>
          </a:solidFill>
          <a:ln w="19050">
            <a:noFill/>
          </a:ln>
          <a:effectLst/>
        </c:spPr>
      </c:pivotFmt>
      <c:pivotFmt>
        <c:idx val="40"/>
        <c:spPr>
          <a:solidFill>
            <a:srgbClr val="81B2DF"/>
          </a:solidFill>
          <a:ln w="19050">
            <a:noFill/>
          </a:ln>
          <a:effectLst/>
        </c:spPr>
      </c:pivotFmt>
      <c:pivotFmt>
        <c:idx val="41"/>
        <c:spPr>
          <a:solidFill>
            <a:schemeClr val="accent1">
              <a:lumMod val="40000"/>
              <a:lumOff val="60000"/>
            </a:schemeClr>
          </a:solidFill>
          <a:ln w="19050">
            <a:noFill/>
          </a:ln>
          <a:effectLst/>
        </c:spPr>
      </c:pivotFmt>
      <c:pivotFmt>
        <c:idx val="42"/>
        <c:spPr>
          <a:solidFill>
            <a:schemeClr val="accent1">
              <a:lumMod val="20000"/>
              <a:lumOff val="80000"/>
            </a:schemeClr>
          </a:solidFill>
          <a:ln w="19050">
            <a:noFill/>
          </a:ln>
          <a:effectLst/>
        </c:spPr>
      </c:pivotFmt>
      <c:pivotFmt>
        <c:idx val="43"/>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2969A3"/>
          </a:solidFill>
          <a:ln w="19050">
            <a:noFill/>
          </a:ln>
          <a:effectLst/>
        </c:spPr>
      </c:pivotFmt>
      <c:pivotFmt>
        <c:idx val="45"/>
        <c:spPr>
          <a:solidFill>
            <a:srgbClr val="3B87CD"/>
          </a:solidFill>
          <a:ln w="19050">
            <a:noFill/>
          </a:ln>
          <a:effectLst/>
        </c:spPr>
      </c:pivotFmt>
      <c:pivotFmt>
        <c:idx val="46"/>
        <c:spPr>
          <a:solidFill>
            <a:srgbClr val="3B87CD"/>
          </a:solidFill>
          <a:ln w="19050">
            <a:noFill/>
          </a:ln>
          <a:effectLst/>
        </c:spPr>
      </c:pivotFmt>
      <c:pivotFmt>
        <c:idx val="47"/>
        <c:spPr>
          <a:solidFill>
            <a:srgbClr val="81B2DF"/>
          </a:solidFill>
          <a:ln w="19050">
            <a:noFill/>
          </a:ln>
          <a:effectLst/>
        </c:spPr>
      </c:pivotFmt>
      <c:pivotFmt>
        <c:idx val="48"/>
        <c:spPr>
          <a:solidFill>
            <a:schemeClr val="accent1">
              <a:lumMod val="40000"/>
              <a:lumOff val="60000"/>
            </a:schemeClr>
          </a:solidFill>
          <a:ln w="19050">
            <a:noFill/>
          </a:ln>
          <a:effectLst/>
        </c:spPr>
      </c:pivotFmt>
      <c:pivotFmt>
        <c:idx val="49"/>
        <c:spPr>
          <a:solidFill>
            <a:schemeClr val="accent1">
              <a:lumMod val="20000"/>
              <a:lumOff val="80000"/>
            </a:schemeClr>
          </a:solidFill>
          <a:ln w="19050">
            <a:noFill/>
          </a:ln>
          <a:effectLst/>
        </c:spPr>
      </c:pivotFmt>
      <c:pivotFmt>
        <c:idx val="50"/>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2D7142"/>
          </a:solidFill>
          <a:ln w="19050">
            <a:noFill/>
          </a:ln>
          <a:effectLst/>
        </c:spPr>
      </c:pivotFmt>
      <c:pivotFmt>
        <c:idx val="52"/>
        <c:spPr>
          <a:solidFill>
            <a:srgbClr val="36864F"/>
          </a:solidFill>
          <a:ln w="19050">
            <a:noFill/>
          </a:ln>
          <a:effectLst/>
        </c:spPr>
      </c:pivotFmt>
      <c:pivotFmt>
        <c:idx val="53"/>
        <c:spPr>
          <a:solidFill>
            <a:srgbClr val="46B067"/>
          </a:solidFill>
          <a:ln w="19050">
            <a:noFill/>
          </a:ln>
          <a:effectLst/>
        </c:spPr>
      </c:pivotFmt>
      <c:pivotFmt>
        <c:idx val="54"/>
        <c:spPr>
          <a:solidFill>
            <a:srgbClr val="76C88F"/>
          </a:solidFill>
          <a:ln w="19050">
            <a:noFill/>
          </a:ln>
          <a:effectLst/>
        </c:spPr>
      </c:pivotFmt>
      <c:pivotFmt>
        <c:idx val="55"/>
        <c:spPr>
          <a:solidFill>
            <a:srgbClr val="9AD6AD"/>
          </a:solidFill>
          <a:ln w="19050">
            <a:noFill/>
          </a:ln>
          <a:effectLst/>
        </c:spPr>
      </c:pivotFmt>
      <c:pivotFmt>
        <c:idx val="56"/>
        <c:spPr>
          <a:solidFill>
            <a:srgbClr val="B8E2C5"/>
          </a:solidFill>
          <a:ln w="19050">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rgbClr val="235733"/>
            </a:solidFill>
            <a:ln w="19050">
              <a:noFill/>
            </a:ln>
            <a:effectLst/>
          </c:spPr>
          <c:invertIfNegative val="0"/>
          <c:dPt>
            <c:idx val="2"/>
            <c:invertIfNegative val="0"/>
            <c:bubble3D val="0"/>
            <c:spPr>
              <a:solidFill>
                <a:srgbClr val="2D7142"/>
              </a:solidFill>
              <a:ln w="19050">
                <a:noFill/>
              </a:ln>
              <a:effectLst/>
            </c:spPr>
            <c:extLst>
              <c:ext xmlns:c16="http://schemas.microsoft.com/office/drawing/2014/chart" uri="{C3380CC4-5D6E-409C-BE32-E72D297353CC}">
                <c16:uniqueId val="{00000001-3BD5-45D6-997A-75F6E6E7D722}"/>
              </c:ext>
            </c:extLst>
          </c:dPt>
          <c:dPt>
            <c:idx val="3"/>
            <c:invertIfNegative val="0"/>
            <c:bubble3D val="0"/>
            <c:spPr>
              <a:solidFill>
                <a:srgbClr val="36864F"/>
              </a:solidFill>
              <a:ln w="19050">
                <a:noFill/>
              </a:ln>
              <a:effectLst/>
            </c:spPr>
            <c:extLst>
              <c:ext xmlns:c16="http://schemas.microsoft.com/office/drawing/2014/chart" uri="{C3380CC4-5D6E-409C-BE32-E72D297353CC}">
                <c16:uniqueId val="{00000003-3BD5-45D6-997A-75F6E6E7D722}"/>
              </c:ext>
            </c:extLst>
          </c:dPt>
          <c:dPt>
            <c:idx val="4"/>
            <c:invertIfNegative val="0"/>
            <c:bubble3D val="0"/>
            <c:spPr>
              <a:solidFill>
                <a:srgbClr val="46B067"/>
              </a:solidFill>
              <a:ln w="19050">
                <a:noFill/>
              </a:ln>
              <a:effectLst/>
            </c:spPr>
            <c:extLst>
              <c:ext xmlns:c16="http://schemas.microsoft.com/office/drawing/2014/chart" uri="{C3380CC4-5D6E-409C-BE32-E72D297353CC}">
                <c16:uniqueId val="{00000005-3BD5-45D6-997A-75F6E6E7D722}"/>
              </c:ext>
            </c:extLst>
          </c:dPt>
          <c:dPt>
            <c:idx val="5"/>
            <c:invertIfNegative val="0"/>
            <c:bubble3D val="0"/>
            <c:spPr>
              <a:solidFill>
                <a:srgbClr val="76C88F"/>
              </a:solidFill>
              <a:ln w="19050">
                <a:noFill/>
              </a:ln>
              <a:effectLst/>
            </c:spPr>
            <c:extLst>
              <c:ext xmlns:c16="http://schemas.microsoft.com/office/drawing/2014/chart" uri="{C3380CC4-5D6E-409C-BE32-E72D297353CC}">
                <c16:uniqueId val="{00000007-3BD5-45D6-997A-75F6E6E7D722}"/>
              </c:ext>
            </c:extLst>
          </c:dPt>
          <c:dPt>
            <c:idx val="6"/>
            <c:invertIfNegative val="0"/>
            <c:bubble3D val="0"/>
            <c:spPr>
              <a:solidFill>
                <a:srgbClr val="9AD6AD"/>
              </a:solidFill>
              <a:ln w="19050">
                <a:noFill/>
              </a:ln>
              <a:effectLst/>
            </c:spPr>
            <c:extLst>
              <c:ext xmlns:c16="http://schemas.microsoft.com/office/drawing/2014/chart" uri="{C3380CC4-5D6E-409C-BE32-E72D297353CC}">
                <c16:uniqueId val="{00000009-3BD5-45D6-997A-75F6E6E7D722}"/>
              </c:ext>
            </c:extLst>
          </c:dPt>
          <c:dPt>
            <c:idx val="7"/>
            <c:invertIfNegative val="0"/>
            <c:bubble3D val="0"/>
            <c:spPr>
              <a:solidFill>
                <a:srgbClr val="B8E2C5"/>
              </a:solidFill>
              <a:ln w="19050">
                <a:noFill/>
              </a:ln>
              <a:effectLst/>
            </c:spPr>
            <c:extLst>
              <c:ext xmlns:c16="http://schemas.microsoft.com/office/drawing/2014/chart" uri="{C3380CC4-5D6E-409C-BE32-E72D297353CC}">
                <c16:uniqueId val="{0000000B-3BD5-45D6-997A-75F6E6E7D7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D-3BD5-45D6-997A-75F6E6E7D722}"/>
            </c:ext>
          </c:extLst>
        </c:ser>
        <c:dLbls>
          <c:showLegendKey val="0"/>
          <c:showVal val="0"/>
          <c:showCatName val="0"/>
          <c:showSerName val="0"/>
          <c:showPercent val="0"/>
          <c:showBubbleSize val="0"/>
        </c:dLbls>
        <c:gapWidth val="20"/>
        <c:axId val="575352784"/>
        <c:axId val="575352064"/>
      </c:barChart>
      <c:valAx>
        <c:axId val="57535206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between"/>
      </c:valAx>
      <c:catAx>
        <c:axId val="5753527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Trend!PivotTable1</c:name>
    <c:fmtId val="24"/>
  </c:pivotSource>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rgbClr val="245A8C"/>
          </a:solidFill>
          <a:ln w="19050">
            <a:noFill/>
          </a:ln>
          <a:effectLst/>
        </c:spPr>
      </c:pivotFmt>
      <c:pivotFmt>
        <c:idx val="23"/>
        <c:spPr>
          <a:solidFill>
            <a:srgbClr val="2A69A2"/>
          </a:solidFill>
          <a:ln w="19050">
            <a:noFill/>
          </a:ln>
          <a:effectLst/>
        </c:spPr>
      </c:pivotFmt>
      <c:pivotFmt>
        <c:idx val="24"/>
        <c:spPr>
          <a:solidFill>
            <a:srgbClr val="3381C7"/>
          </a:solidFill>
          <a:ln w="19050">
            <a:noFill/>
          </a:ln>
          <a:effectLst/>
        </c:spPr>
      </c:pivotFmt>
      <c:pivotFmt>
        <c:idx val="25"/>
        <c:spPr>
          <a:solidFill>
            <a:srgbClr val="5195D3"/>
          </a:solidFill>
          <a:ln w="19050">
            <a:noFill/>
          </a:ln>
          <a:effectLst/>
        </c:spPr>
      </c:pivotFmt>
      <c:pivotFmt>
        <c:idx val="26"/>
        <c:spPr>
          <a:solidFill>
            <a:srgbClr val="73A9DB"/>
          </a:solidFill>
          <a:ln w="19050">
            <a:noFill/>
          </a:ln>
          <a:effectLst/>
        </c:spPr>
      </c:pivotFmt>
      <c:pivotFmt>
        <c:idx val="27"/>
        <c:spPr>
          <a:solidFill>
            <a:srgbClr val="98C0E4"/>
          </a:solidFill>
          <a:ln w="19050">
            <a:noFill/>
          </a:ln>
          <a:effectLst/>
        </c:spPr>
      </c:pivotFmt>
      <c:pivotFmt>
        <c:idx val="28"/>
        <c:spPr>
          <a:solidFill>
            <a:srgbClr val="CEE1F2"/>
          </a:solidFill>
          <a:ln w="19050">
            <a:noFill/>
          </a:ln>
          <a:effectLst/>
        </c:spPr>
      </c:pivotFmt>
      <c:pivotFmt>
        <c:idx val="29"/>
        <c:spPr>
          <a:solidFill>
            <a:srgbClr val="D4E5F4"/>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4E5F4"/>
          </a:solidFill>
          <a:ln w="19050">
            <a:noFill/>
          </a:ln>
          <a:effectLst/>
        </c:spPr>
      </c:pivotFmt>
      <c:pivotFmt>
        <c:idx val="32"/>
        <c:spPr>
          <a:solidFill>
            <a:srgbClr val="CEE1F2"/>
          </a:solidFill>
          <a:ln w="19050">
            <a:noFill/>
          </a:ln>
          <a:effectLst/>
        </c:spPr>
      </c:pivotFmt>
      <c:pivotFmt>
        <c:idx val="33"/>
        <c:spPr>
          <a:solidFill>
            <a:srgbClr val="98C0E4"/>
          </a:solidFill>
          <a:ln w="19050">
            <a:noFill/>
          </a:ln>
          <a:effectLst/>
        </c:spPr>
      </c:pivotFmt>
      <c:pivotFmt>
        <c:idx val="34"/>
        <c:spPr>
          <a:solidFill>
            <a:srgbClr val="73A9DB"/>
          </a:solidFill>
          <a:ln w="19050">
            <a:noFill/>
          </a:ln>
          <a:effectLst/>
        </c:spPr>
      </c:pivotFmt>
      <c:pivotFmt>
        <c:idx val="35"/>
        <c:spPr>
          <a:solidFill>
            <a:srgbClr val="5195D3"/>
          </a:solidFill>
          <a:ln w="19050">
            <a:noFill/>
          </a:ln>
          <a:effectLst/>
        </c:spPr>
      </c:pivotFmt>
      <c:pivotFmt>
        <c:idx val="36"/>
        <c:spPr>
          <a:solidFill>
            <a:srgbClr val="3381C7"/>
          </a:solidFill>
          <a:ln w="19050">
            <a:noFill/>
          </a:ln>
          <a:effectLst/>
        </c:spPr>
      </c:pivotFmt>
      <c:pivotFmt>
        <c:idx val="37"/>
        <c:spPr>
          <a:solidFill>
            <a:srgbClr val="2A69A2"/>
          </a:solidFill>
          <a:ln w="19050">
            <a:noFill/>
          </a:ln>
          <a:effectLst/>
        </c:spPr>
      </c:pivotFmt>
      <c:pivotFmt>
        <c:idx val="38"/>
        <c:spPr>
          <a:solidFill>
            <a:srgbClr val="245A8C"/>
          </a:solidFill>
          <a:ln w="19050">
            <a:noFill/>
          </a:ln>
          <a:effectLst/>
        </c:spPr>
      </c:pivotFmt>
      <c:pivotFmt>
        <c:idx val="3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9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92"/>
        <c:spPr>
          <a:solidFill>
            <a:srgbClr val="9AD6AD"/>
          </a:solidFill>
          <a:ln w="9525">
            <a:solidFill>
              <a:srgbClr val="46B06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9AD6AD"/>
          </a:solidFill>
          <a:ln w="9525" cap="rnd">
            <a:solidFill>
              <a:srgbClr val="46B067"/>
            </a:solidFill>
            <a:round/>
          </a:ln>
          <a:effectLst/>
        </c:spPr>
        <c:marker>
          <c:symbol val="none"/>
        </c:marker>
        <c:dLbl>
          <c:idx val="0"/>
          <c:layout>
            <c:manualLayout>
              <c:x val="-2.9665810490276713E-4"/>
              <c:y val="-0.42358877734337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9AD6AD"/>
          </a:solidFill>
          <a:ln w="9525" cap="rnd">
            <a:solidFill>
              <a:srgbClr val="46B067"/>
            </a:solidFill>
            <a:round/>
          </a:ln>
          <a:effectLst/>
        </c:spPr>
        <c:marker>
          <c:symbol val="none"/>
        </c:marker>
        <c:dLbl>
          <c:idx val="0"/>
          <c:layout>
            <c:manualLayout>
              <c:x val="-1.4260249554367306E-2"/>
              <c:y val="-0.38297893727533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9AD6AD"/>
          </a:solidFill>
          <a:ln w="9525" cap="rnd">
            <a:solidFill>
              <a:srgbClr val="46B067"/>
            </a:solidFill>
            <a:round/>
          </a:ln>
          <a:effectLst/>
        </c:spPr>
        <c:marker>
          <c:symbol val="none"/>
        </c:marker>
        <c:dLbl>
          <c:idx val="0"/>
          <c:layout>
            <c:manualLayout>
              <c:x val="-1.4260249554367201E-3"/>
              <c:y val="-0.41843994998601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9AD6AD"/>
          </a:solidFill>
          <a:ln w="9525" cap="rnd">
            <a:solidFill>
              <a:srgbClr val="46B067"/>
            </a:solidFill>
            <a:round/>
          </a:ln>
          <a:effectLst/>
        </c:spPr>
        <c:marker>
          <c:symbol val="none"/>
        </c:marker>
        <c:dLbl>
          <c:idx val="0"/>
          <c:layout>
            <c:manualLayout>
              <c:x val="-1.4260249554367201E-3"/>
              <c:y val="-0.32624131693824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9AD6AD"/>
          </a:solidFill>
          <a:ln w="9525" cap="rnd">
            <a:solidFill>
              <a:srgbClr val="46B067"/>
            </a:solidFill>
            <a:round/>
          </a:ln>
          <a:effectLst/>
        </c:spPr>
        <c:marker>
          <c:symbol val="none"/>
        </c:marker>
        <c:dLbl>
          <c:idx val="0"/>
          <c:layout>
            <c:manualLayout>
              <c:x val="5.9436046430025122E-3"/>
              <c:y val="-0.27666067831612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9AD6AD"/>
          </a:solidFill>
          <a:ln w="9525" cap="rnd">
            <a:solidFill>
              <a:srgbClr val="46B067"/>
            </a:solidFill>
            <a:round/>
          </a:ln>
          <a:effectLst/>
        </c:spPr>
        <c:marker>
          <c:symbol val="none"/>
        </c:marker>
        <c:dLbl>
          <c:idx val="0"/>
          <c:layout>
            <c:manualLayout>
              <c:x val="1.0221679509312673E-2"/>
              <c:y val="-0.33935686567089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9AD6AD"/>
          </a:solidFill>
          <a:ln w="9525" cap="rnd">
            <a:solidFill>
              <a:srgbClr val="46B067"/>
            </a:solidFill>
            <a:round/>
          </a:ln>
          <a:effectLst/>
        </c:spPr>
        <c:marker>
          <c:symbol val="none"/>
        </c:marker>
        <c:dLbl>
          <c:idx val="0"/>
          <c:layout>
            <c:manualLayout>
              <c:x val="-9.9821746880570938E-3"/>
              <c:y val="-0.42553215252814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9AD6AD"/>
          </a:solidFill>
          <a:ln w="9525" cap="rnd">
            <a:solidFill>
              <a:srgbClr val="46B067"/>
            </a:solidFill>
            <a:round/>
          </a:ln>
          <a:effectLst/>
        </c:spPr>
        <c:marker>
          <c:symbol val="none"/>
        </c:marker>
        <c:dLbl>
          <c:idx val="0"/>
          <c:layout>
            <c:manualLayout>
              <c:x val="-8.5561497326203731E-3"/>
              <c:y val="-0.340425722022517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9AD6AD"/>
          </a:solidFill>
          <a:ln w="9525">
            <a:solidFill>
              <a:srgbClr val="46B067"/>
            </a:solidFill>
          </a:ln>
          <a:effectLst/>
        </c:spPr>
        <c:dLbl>
          <c:idx val="0"/>
          <c:layout>
            <c:manualLayout>
              <c:x val="5.7040998217468804E-3"/>
              <c:y val="-0.347517924564653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9AD6AD"/>
          </a:solidFill>
          <a:ln w="9525">
            <a:solidFill>
              <a:srgbClr val="46B067"/>
            </a:solidFill>
          </a:ln>
          <a:effectLst/>
        </c:spPr>
        <c:dLbl>
          <c:idx val="0"/>
          <c:layout>
            <c:manualLayout>
              <c:x val="2.8520499108734402E-3"/>
              <c:y val="-0.283688101685431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9AD6AD"/>
          </a:solidFill>
          <a:ln w="9525">
            <a:solidFill>
              <a:srgbClr val="46B067"/>
            </a:solidFill>
          </a:ln>
          <a:effectLst/>
        </c:spPr>
        <c:dLbl>
          <c:idx val="0"/>
          <c:layout>
            <c:manualLayout>
              <c:x val="-2.6143488837859237E-17"/>
              <c:y val="-0.31914911439611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9AD6AD"/>
          </a:solidFill>
          <a:ln w="9525">
            <a:solidFill>
              <a:srgbClr val="46B067"/>
            </a:solidFill>
          </a:ln>
          <a:effectLst/>
        </c:spPr>
        <c:dLbl>
          <c:idx val="0"/>
          <c:layout>
            <c:manualLayout>
              <c:x val="-5.2286977675718474E-17"/>
              <c:y val="-0.29078030422756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Trend'!$B$3</c:f>
              <c:strCache>
                <c:ptCount val="1"/>
                <c:pt idx="0">
                  <c:v>Total</c:v>
                </c:pt>
              </c:strCache>
            </c:strRef>
          </c:tx>
          <c:spPr>
            <a:solidFill>
              <a:srgbClr val="9AD6AD"/>
            </a:solidFill>
            <a:ln w="9525">
              <a:solidFill>
                <a:srgbClr val="46B067"/>
              </a:solidFill>
            </a:ln>
            <a:effectLst/>
          </c:spPr>
          <c:dPt>
            <c:idx val="0"/>
            <c:bubble3D val="0"/>
            <c:spPr>
              <a:solidFill>
                <a:srgbClr val="9AD6AD"/>
              </a:solidFill>
              <a:ln w="9525" cap="rnd">
                <a:solidFill>
                  <a:srgbClr val="46B067"/>
                </a:solidFill>
                <a:round/>
              </a:ln>
              <a:effectLst/>
            </c:spPr>
            <c:extLst>
              <c:ext xmlns:c16="http://schemas.microsoft.com/office/drawing/2014/chart" uri="{C3380CC4-5D6E-409C-BE32-E72D297353CC}">
                <c16:uniqueId val="{00000001-90AE-4B4F-A3EC-5BF3AEE8AF1E}"/>
              </c:ext>
            </c:extLst>
          </c:dPt>
          <c:dPt>
            <c:idx val="1"/>
            <c:bubble3D val="0"/>
            <c:spPr>
              <a:solidFill>
                <a:srgbClr val="9AD6AD"/>
              </a:solidFill>
              <a:ln w="9525" cap="rnd">
                <a:solidFill>
                  <a:srgbClr val="46B067"/>
                </a:solidFill>
                <a:round/>
              </a:ln>
              <a:effectLst/>
            </c:spPr>
            <c:extLst>
              <c:ext xmlns:c16="http://schemas.microsoft.com/office/drawing/2014/chart" uri="{C3380CC4-5D6E-409C-BE32-E72D297353CC}">
                <c16:uniqueId val="{00000003-90AE-4B4F-A3EC-5BF3AEE8AF1E}"/>
              </c:ext>
            </c:extLst>
          </c:dPt>
          <c:dPt>
            <c:idx val="2"/>
            <c:bubble3D val="0"/>
            <c:spPr>
              <a:solidFill>
                <a:srgbClr val="9AD6AD"/>
              </a:solidFill>
              <a:ln w="9525" cap="rnd">
                <a:solidFill>
                  <a:srgbClr val="46B067"/>
                </a:solidFill>
                <a:round/>
              </a:ln>
              <a:effectLst/>
            </c:spPr>
            <c:extLst>
              <c:ext xmlns:c16="http://schemas.microsoft.com/office/drawing/2014/chart" uri="{C3380CC4-5D6E-409C-BE32-E72D297353CC}">
                <c16:uniqueId val="{00000005-90AE-4B4F-A3EC-5BF3AEE8AF1E}"/>
              </c:ext>
            </c:extLst>
          </c:dPt>
          <c:dPt>
            <c:idx val="3"/>
            <c:bubble3D val="0"/>
            <c:spPr>
              <a:solidFill>
                <a:srgbClr val="9AD6AD"/>
              </a:solidFill>
              <a:ln w="9525" cap="rnd">
                <a:solidFill>
                  <a:srgbClr val="46B067"/>
                </a:solidFill>
                <a:round/>
              </a:ln>
              <a:effectLst/>
            </c:spPr>
            <c:extLst>
              <c:ext xmlns:c16="http://schemas.microsoft.com/office/drawing/2014/chart" uri="{C3380CC4-5D6E-409C-BE32-E72D297353CC}">
                <c16:uniqueId val="{00000007-90AE-4B4F-A3EC-5BF3AEE8AF1E}"/>
              </c:ext>
            </c:extLst>
          </c:dPt>
          <c:dPt>
            <c:idx val="4"/>
            <c:bubble3D val="0"/>
            <c:spPr>
              <a:solidFill>
                <a:srgbClr val="9AD6AD"/>
              </a:solidFill>
              <a:ln w="9525" cap="rnd">
                <a:solidFill>
                  <a:srgbClr val="46B067"/>
                </a:solidFill>
                <a:round/>
              </a:ln>
              <a:effectLst/>
            </c:spPr>
            <c:extLst>
              <c:ext xmlns:c16="http://schemas.microsoft.com/office/drawing/2014/chart" uri="{C3380CC4-5D6E-409C-BE32-E72D297353CC}">
                <c16:uniqueId val="{00000009-90AE-4B4F-A3EC-5BF3AEE8AF1E}"/>
              </c:ext>
            </c:extLst>
          </c:dPt>
          <c:dPt>
            <c:idx val="5"/>
            <c:bubble3D val="0"/>
            <c:spPr>
              <a:solidFill>
                <a:srgbClr val="9AD6AD"/>
              </a:solidFill>
              <a:ln w="9525" cap="rnd">
                <a:solidFill>
                  <a:srgbClr val="46B067"/>
                </a:solidFill>
                <a:round/>
              </a:ln>
              <a:effectLst/>
            </c:spPr>
            <c:extLst>
              <c:ext xmlns:c16="http://schemas.microsoft.com/office/drawing/2014/chart" uri="{C3380CC4-5D6E-409C-BE32-E72D297353CC}">
                <c16:uniqueId val="{0000000B-90AE-4B4F-A3EC-5BF3AEE8AF1E}"/>
              </c:ext>
            </c:extLst>
          </c:dPt>
          <c:dPt>
            <c:idx val="6"/>
            <c:bubble3D val="0"/>
            <c:spPr>
              <a:solidFill>
                <a:srgbClr val="9AD6AD"/>
              </a:solidFill>
              <a:ln w="9525" cap="rnd">
                <a:solidFill>
                  <a:srgbClr val="46B067"/>
                </a:solidFill>
                <a:round/>
              </a:ln>
              <a:effectLst/>
            </c:spPr>
            <c:extLst>
              <c:ext xmlns:c16="http://schemas.microsoft.com/office/drawing/2014/chart" uri="{C3380CC4-5D6E-409C-BE32-E72D297353CC}">
                <c16:uniqueId val="{0000000D-90AE-4B4F-A3EC-5BF3AEE8AF1E}"/>
              </c:ext>
            </c:extLst>
          </c:dPt>
          <c:dPt>
            <c:idx val="7"/>
            <c:bubble3D val="0"/>
            <c:spPr>
              <a:solidFill>
                <a:srgbClr val="9AD6AD"/>
              </a:solidFill>
              <a:ln w="9525" cap="rnd">
                <a:solidFill>
                  <a:srgbClr val="46B067"/>
                </a:solidFill>
                <a:round/>
              </a:ln>
              <a:effectLst/>
            </c:spPr>
            <c:extLst>
              <c:ext xmlns:c16="http://schemas.microsoft.com/office/drawing/2014/chart" uri="{C3380CC4-5D6E-409C-BE32-E72D297353CC}">
                <c16:uniqueId val="{0000000F-90AE-4B4F-A3EC-5BF3AEE8AF1E}"/>
              </c:ext>
            </c:extLst>
          </c:dPt>
          <c:dPt>
            <c:idx val="8"/>
            <c:bubble3D val="0"/>
            <c:extLst>
              <c:ext xmlns:c16="http://schemas.microsoft.com/office/drawing/2014/chart" uri="{C3380CC4-5D6E-409C-BE32-E72D297353CC}">
                <c16:uniqueId val="{00000015-90AE-4B4F-A3EC-5BF3AEE8AF1E}"/>
              </c:ext>
            </c:extLst>
          </c:dPt>
          <c:dPt>
            <c:idx val="9"/>
            <c:bubble3D val="0"/>
            <c:extLst>
              <c:ext xmlns:c16="http://schemas.microsoft.com/office/drawing/2014/chart" uri="{C3380CC4-5D6E-409C-BE32-E72D297353CC}">
                <c16:uniqueId val="{00000014-90AE-4B4F-A3EC-5BF3AEE8AF1E}"/>
              </c:ext>
            </c:extLst>
          </c:dPt>
          <c:dPt>
            <c:idx val="10"/>
            <c:bubble3D val="0"/>
            <c:extLst>
              <c:ext xmlns:c16="http://schemas.microsoft.com/office/drawing/2014/chart" uri="{C3380CC4-5D6E-409C-BE32-E72D297353CC}">
                <c16:uniqueId val="{00000013-90AE-4B4F-A3EC-5BF3AEE8AF1E}"/>
              </c:ext>
            </c:extLst>
          </c:dPt>
          <c:dPt>
            <c:idx val="11"/>
            <c:bubble3D val="0"/>
            <c:extLst>
              <c:ext xmlns:c16="http://schemas.microsoft.com/office/drawing/2014/chart" uri="{C3380CC4-5D6E-409C-BE32-E72D297353CC}">
                <c16:uniqueId val="{00000012-90AE-4B4F-A3EC-5BF3AEE8AF1E}"/>
              </c:ext>
            </c:extLst>
          </c:dPt>
          <c:dLbls>
            <c:dLbl>
              <c:idx val="0"/>
              <c:layout>
                <c:manualLayout>
                  <c:x val="-2.9665810490276713E-4"/>
                  <c:y val="-0.42358877734337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AE-4B4F-A3EC-5BF3AEE8AF1E}"/>
                </c:ext>
              </c:extLst>
            </c:dLbl>
            <c:dLbl>
              <c:idx val="1"/>
              <c:layout>
                <c:manualLayout>
                  <c:x val="-1.4260249554367306E-2"/>
                  <c:y val="-0.382978937275332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AE-4B4F-A3EC-5BF3AEE8AF1E}"/>
                </c:ext>
              </c:extLst>
            </c:dLbl>
            <c:dLbl>
              <c:idx val="2"/>
              <c:layout>
                <c:manualLayout>
                  <c:x val="-1.4260249554367201E-3"/>
                  <c:y val="-0.41843994998601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AE-4B4F-A3EC-5BF3AEE8AF1E}"/>
                </c:ext>
              </c:extLst>
            </c:dLbl>
            <c:dLbl>
              <c:idx val="3"/>
              <c:layout>
                <c:manualLayout>
                  <c:x val="-1.4260249554367201E-3"/>
                  <c:y val="-0.32624131693824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AE-4B4F-A3EC-5BF3AEE8AF1E}"/>
                </c:ext>
              </c:extLst>
            </c:dLbl>
            <c:dLbl>
              <c:idx val="4"/>
              <c:layout>
                <c:manualLayout>
                  <c:x val="5.9436046430025122E-3"/>
                  <c:y val="-0.27666067831612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AE-4B4F-A3EC-5BF3AEE8AF1E}"/>
                </c:ext>
              </c:extLst>
            </c:dLbl>
            <c:dLbl>
              <c:idx val="5"/>
              <c:layout>
                <c:manualLayout>
                  <c:x val="1.0221679509312673E-2"/>
                  <c:y val="-0.33935686567089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AE-4B4F-A3EC-5BF3AEE8AF1E}"/>
                </c:ext>
              </c:extLst>
            </c:dLbl>
            <c:dLbl>
              <c:idx val="6"/>
              <c:layout>
                <c:manualLayout>
                  <c:x val="-9.9821746880570938E-3"/>
                  <c:y val="-0.425532152528146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AE-4B4F-A3EC-5BF3AEE8AF1E}"/>
                </c:ext>
              </c:extLst>
            </c:dLbl>
            <c:dLbl>
              <c:idx val="7"/>
              <c:layout>
                <c:manualLayout>
                  <c:x val="-8.5561497326203731E-3"/>
                  <c:y val="-0.34042572202251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AE-4B4F-A3EC-5BF3AEE8AF1E}"/>
                </c:ext>
              </c:extLst>
            </c:dLbl>
            <c:dLbl>
              <c:idx val="8"/>
              <c:layout>
                <c:manualLayout>
                  <c:x val="-5.2286977675718474E-17"/>
                  <c:y val="-0.29078030422756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0AE-4B4F-A3EC-5BF3AEE8AF1E}"/>
                </c:ext>
              </c:extLst>
            </c:dLbl>
            <c:dLbl>
              <c:idx val="9"/>
              <c:layout>
                <c:manualLayout>
                  <c:x val="-2.6143488837859237E-17"/>
                  <c:y val="-0.31914911439611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0AE-4B4F-A3EC-5BF3AEE8AF1E}"/>
                </c:ext>
              </c:extLst>
            </c:dLbl>
            <c:dLbl>
              <c:idx val="10"/>
              <c:layout>
                <c:manualLayout>
                  <c:x val="2.8520499108734402E-3"/>
                  <c:y val="-0.283688101685431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0AE-4B4F-A3EC-5BF3AEE8AF1E}"/>
                </c:ext>
              </c:extLst>
            </c:dLbl>
            <c:dLbl>
              <c:idx val="11"/>
              <c:layout>
                <c:manualLayout>
                  <c:x val="5.7040998217468804E-3"/>
                  <c:y val="-0.34751792456465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0AE-4B4F-A3EC-5BF3AEE8AF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Ref>
              <c:f>'Sales Trend'!$A$4:$A$16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'Sales Trend'!$B$4:$B$16</c:f>
              <c:numCache>
                <c:formatCode>"$"#,##0.00</c:formatCode>
                <c:ptCount val="12"/>
                <c:pt idx="0">
                  <c:v>66642.78</c:v>
                </c:pt>
                <c:pt idx="1">
                  <c:v>31773.429999999997</c:v>
                </c:pt>
                <c:pt idx="2">
                  <c:v>53033.59</c:v>
                </c:pt>
                <c:pt idx="3">
                  <c:v>31949.97</c:v>
                </c:pt>
                <c:pt idx="4">
                  <c:v>29921.459999999995</c:v>
                </c:pt>
                <c:pt idx="5">
                  <c:v>27318.539999999997</c:v>
                </c:pt>
                <c:pt idx="6">
                  <c:v>55601.61</c:v>
                </c:pt>
                <c:pt idx="7">
                  <c:v>34307.049999999996</c:v>
                </c:pt>
                <c:pt idx="8">
                  <c:v>20771.789999999997</c:v>
                </c:pt>
                <c:pt idx="9">
                  <c:v>30852.6</c:v>
                </c:pt>
                <c:pt idx="10">
                  <c:v>19985.5</c:v>
                </c:pt>
                <c:pt idx="11">
                  <c:v>32907.839999999997</c:v>
                </c:pt>
              </c:numCache>
            </c:numRef>
          </c:val>
          <c:extLst>
            <c:ext xmlns:c16="http://schemas.microsoft.com/office/drawing/2014/chart" uri="{C3380CC4-5D6E-409C-BE32-E72D297353CC}">
              <c16:uniqueId val="{00000011-90AE-4B4F-A3EC-5BF3AEE8AF1E}"/>
            </c:ext>
          </c:extLst>
        </c:ser>
        <c:dLbls>
          <c:showLegendKey val="0"/>
          <c:showVal val="0"/>
          <c:showCatName val="0"/>
          <c:showSerName val="0"/>
          <c:showPercent val="0"/>
          <c:showBubbleSize val="0"/>
        </c:dLbls>
        <c:axId val="575352784"/>
        <c:axId val="575352064"/>
      </c:areaChart>
      <c:valAx>
        <c:axId val="575352064"/>
        <c:scaling>
          <c:orientation val="minMax"/>
        </c:scaling>
        <c:delete val="1"/>
        <c:axPos val="r"/>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midCat"/>
      </c:valAx>
      <c:catAx>
        <c:axId val="5753527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CHIBUIKEM.xlsx]Transaction By Amount!PivotTable1</c:name>
    <c:fmtId val="11"/>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Transaction By</a:t>
            </a:r>
            <a:r>
              <a:rPr lang="en-US" b="1" baseline="0">
                <a:solidFill>
                  <a:srgbClr val="235733"/>
                </a:solidFill>
              </a:rPr>
              <a:t> Amount</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75000"/>
            </a:schemeClr>
          </a:solidFill>
          <a:ln w="19050">
            <a:noFill/>
          </a:ln>
          <a:effectLst/>
        </c:spPr>
      </c:pivotFmt>
      <c:pivotFmt>
        <c:idx val="11"/>
        <c:spPr>
          <a:solidFill>
            <a:schemeClr val="accent1">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accent1">
              <a:lumMod val="20000"/>
              <a:lumOff val="80000"/>
            </a:schemeClr>
          </a:solidFill>
          <a:ln w="19050">
            <a:noFill/>
          </a:ln>
          <a:effectLst/>
        </c:spPr>
      </c:pivotFmt>
      <c:pivotFmt>
        <c:idx val="1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noFill/>
          </a:ln>
          <a:effectLst/>
        </c:spPr>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75000"/>
            </a:schemeClr>
          </a:solidFill>
          <a:ln w="19050">
            <a:noFill/>
          </a:ln>
          <a:effectLst/>
        </c:spPr>
      </c:pivotFmt>
      <c:pivotFmt>
        <c:idx val="19"/>
        <c:spPr>
          <a:solidFill>
            <a:schemeClr val="accent1"/>
          </a:solidFill>
          <a:ln w="28575" cap="rnd">
            <a:solidFill>
              <a:schemeClr val="accent1">
                <a:lumMod val="50000"/>
              </a:schemeClr>
            </a:solidFill>
            <a:round/>
          </a:ln>
          <a:effectLst/>
        </c:spPr>
        <c:marker>
          <c:symbol val="none"/>
        </c:marker>
      </c:pivotFmt>
      <c:pivotFmt>
        <c:idx val="20"/>
        <c:spPr>
          <a:solidFill>
            <a:schemeClr val="accent1"/>
          </a:solidFill>
          <a:ln w="28575" cap="rnd">
            <a:solidFill>
              <a:schemeClr val="accent1">
                <a:lumMod val="50000"/>
              </a:schemeClr>
            </a:solidFill>
            <a:round/>
          </a:ln>
          <a:effectLst/>
        </c:spPr>
        <c:marker>
          <c:symbol val="none"/>
        </c:marker>
      </c:pivotFmt>
      <c:pivotFmt>
        <c:idx val="21"/>
        <c:spPr>
          <a:solidFill>
            <a:schemeClr val="accent1"/>
          </a:solidFill>
          <a:ln w="28575" cap="rnd">
            <a:solidFill>
              <a:schemeClr val="accent1">
                <a:lumMod val="50000"/>
              </a:schemeClr>
            </a:solidFill>
            <a:round/>
          </a:ln>
          <a:effectLst/>
        </c:spPr>
        <c:marker>
          <c:symbol val="none"/>
        </c:marker>
      </c:pivotFmt>
      <c:pivotFmt>
        <c:idx val="22"/>
        <c:spPr>
          <a:solidFill>
            <a:schemeClr val="accent1"/>
          </a:solidFill>
          <a:ln w="28575" cap="rnd">
            <a:solidFill>
              <a:schemeClr val="accent1">
                <a:lumMod val="50000"/>
              </a:schemeClr>
            </a:solidFill>
            <a:round/>
          </a:ln>
          <a:effectLst/>
        </c:spPr>
        <c:marker>
          <c:symbol val="none"/>
        </c:marker>
      </c:pivotFmt>
      <c:pivotFmt>
        <c:idx val="23"/>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pivotFmt>
      <c:pivotFmt>
        <c:idx val="25"/>
        <c:spPr>
          <a:solidFill>
            <a:schemeClr val="accent1"/>
          </a:solidFill>
          <a:ln w="28575" cap="rnd">
            <a:solidFill>
              <a:schemeClr val="accent1">
                <a:lumMod val="50000"/>
              </a:schemeClr>
            </a:solidFill>
            <a:round/>
          </a:ln>
          <a:effectLst/>
        </c:spPr>
        <c:marker>
          <c:symbol val="none"/>
        </c:marker>
      </c:pivotFmt>
      <c:pivotFmt>
        <c:idx val="26"/>
        <c:spPr>
          <a:solidFill>
            <a:schemeClr val="accent1"/>
          </a:solidFill>
          <a:ln w="28575" cap="rnd">
            <a:solidFill>
              <a:schemeClr val="accent1">
                <a:lumMod val="50000"/>
              </a:schemeClr>
            </a:solidFill>
            <a:round/>
          </a:ln>
          <a:effectLst/>
        </c:spPr>
        <c:marker>
          <c:symbol val="none"/>
        </c:marker>
      </c:pivotFmt>
      <c:pivotFmt>
        <c:idx val="27"/>
        <c:spPr>
          <a:solidFill>
            <a:schemeClr val="accent1"/>
          </a:solidFill>
          <a:ln w="28575" cap="rnd">
            <a:solidFill>
              <a:schemeClr val="accent1">
                <a:lumMod val="50000"/>
              </a:schemeClr>
            </a:solidFill>
            <a:round/>
          </a:ln>
          <a:effectLst/>
        </c:spPr>
        <c:marker>
          <c:symbol val="none"/>
        </c:marker>
      </c:pivotFmt>
      <c:pivotFmt>
        <c:idx val="28"/>
        <c:spPr>
          <a:solidFill>
            <a:schemeClr val="accent1"/>
          </a:solidFill>
          <a:ln w="28575" cap="rnd">
            <a:solidFill>
              <a:schemeClr val="accent1">
                <a:lumMod val="50000"/>
              </a:schemeClr>
            </a:solidFill>
            <a:round/>
          </a:ln>
          <a:effectLst/>
        </c:spPr>
        <c:marker>
          <c:symbol val="none"/>
        </c:marker>
      </c:pivotFmt>
      <c:pivotFmt>
        <c:idx val="29"/>
        <c:spPr>
          <a:solidFill>
            <a:schemeClr val="accent1"/>
          </a:solidFill>
          <a:ln w="28575" cap="rnd">
            <a:solidFill>
              <a:schemeClr val="accent1">
                <a:lumMod val="50000"/>
              </a:schemeClr>
            </a:solidFill>
            <a:round/>
          </a:ln>
          <a:effectLst/>
        </c:spPr>
        <c:marker>
          <c:symbol val="none"/>
        </c:marker>
      </c:pivotFmt>
      <c:pivotFmt>
        <c:idx val="30"/>
        <c:spPr>
          <a:solidFill>
            <a:srgbClr val="235733"/>
          </a:solidFill>
          <a:ln w="19050">
            <a:noFill/>
          </a:ln>
          <a:effectLst/>
        </c:spPr>
      </c:pivotFmt>
      <c:pivotFmt>
        <c:idx val="31"/>
        <c:spPr>
          <a:solidFill>
            <a:srgbClr val="2D7142"/>
          </a:solidFill>
          <a:ln w="19050">
            <a:noFill/>
          </a:ln>
          <a:effectLst/>
        </c:spPr>
      </c:pivotFmt>
      <c:pivotFmt>
        <c:idx val="32"/>
        <c:spPr>
          <a:solidFill>
            <a:srgbClr val="36864F"/>
          </a:solidFill>
          <a:ln w="19050">
            <a:noFill/>
          </a:ln>
          <a:effectLst/>
        </c:spPr>
      </c:pivotFmt>
      <c:pivotFmt>
        <c:idx val="33"/>
        <c:spPr>
          <a:solidFill>
            <a:srgbClr val="46B067"/>
          </a:solidFill>
          <a:ln w="19050">
            <a:noFill/>
          </a:ln>
          <a:effectLst/>
        </c:spPr>
      </c:pivotFmt>
      <c:pivotFmt>
        <c:idx val="34"/>
        <c:spPr>
          <a:solidFill>
            <a:srgbClr val="7CCA94"/>
          </a:solidFill>
          <a:ln w="19050">
            <a:noFill/>
          </a:ln>
          <a:effectLst/>
        </c:spPr>
      </c:pivotFmt>
      <c:pivotFmt>
        <c:idx val="35"/>
        <c:spPr>
          <a:solidFill>
            <a:srgbClr val="76C88F"/>
          </a:solidFill>
          <a:ln w="19050">
            <a:noFill/>
          </a:ln>
          <a:effectLst/>
        </c:spPr>
      </c:pivotFmt>
      <c:pivotFmt>
        <c:idx val="36"/>
        <c:spPr>
          <a:solidFill>
            <a:srgbClr val="D8F0DF"/>
          </a:solidFill>
          <a:ln w="19050">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lumMod val="50000"/>
              </a:schemeClr>
            </a:solidFill>
            <a:ln w="19050">
              <a:noFill/>
            </a:ln>
            <a:effectLst/>
          </c:spPr>
          <c:invertIfNegative val="0"/>
          <c:dPt>
            <c:idx val="0"/>
            <c:invertIfNegative val="0"/>
            <c:bubble3D val="0"/>
            <c:spPr>
              <a:solidFill>
                <a:srgbClr val="235733"/>
              </a:solidFill>
              <a:ln w="19050">
                <a:noFill/>
              </a:ln>
              <a:effectLst/>
            </c:spPr>
            <c:extLst>
              <c:ext xmlns:c16="http://schemas.microsoft.com/office/drawing/2014/chart" uri="{C3380CC4-5D6E-409C-BE32-E72D297353CC}">
                <c16:uniqueId val="{00000000-65C4-4AF6-A90E-DD738C3AE5F1}"/>
              </c:ext>
            </c:extLst>
          </c:dPt>
          <c:dPt>
            <c:idx val="1"/>
            <c:invertIfNegative val="0"/>
            <c:bubble3D val="0"/>
            <c:spPr>
              <a:solidFill>
                <a:srgbClr val="2D7142"/>
              </a:solidFill>
              <a:ln w="19050">
                <a:noFill/>
              </a:ln>
              <a:effectLst/>
            </c:spPr>
            <c:extLst>
              <c:ext xmlns:c16="http://schemas.microsoft.com/office/drawing/2014/chart" uri="{C3380CC4-5D6E-409C-BE32-E72D297353CC}">
                <c16:uniqueId val="{00000002-65C4-4AF6-A90E-DD738C3AE5F1}"/>
              </c:ext>
            </c:extLst>
          </c:dPt>
          <c:dPt>
            <c:idx val="2"/>
            <c:invertIfNegative val="0"/>
            <c:bubble3D val="0"/>
            <c:spPr>
              <a:solidFill>
                <a:srgbClr val="36864F"/>
              </a:solidFill>
              <a:ln w="19050">
                <a:noFill/>
              </a:ln>
              <a:effectLst/>
            </c:spPr>
            <c:extLst>
              <c:ext xmlns:c16="http://schemas.microsoft.com/office/drawing/2014/chart" uri="{C3380CC4-5D6E-409C-BE32-E72D297353CC}">
                <c16:uniqueId val="{00000004-65C4-4AF6-A90E-DD738C3AE5F1}"/>
              </c:ext>
            </c:extLst>
          </c:dPt>
          <c:dPt>
            <c:idx val="3"/>
            <c:invertIfNegative val="0"/>
            <c:bubble3D val="0"/>
            <c:spPr>
              <a:solidFill>
                <a:srgbClr val="46B067"/>
              </a:solidFill>
              <a:ln w="19050">
                <a:noFill/>
              </a:ln>
              <a:effectLst/>
            </c:spPr>
            <c:extLst>
              <c:ext xmlns:c16="http://schemas.microsoft.com/office/drawing/2014/chart" uri="{C3380CC4-5D6E-409C-BE32-E72D297353CC}">
                <c16:uniqueId val="{00000006-65C4-4AF6-A90E-DD738C3AE5F1}"/>
              </c:ext>
            </c:extLst>
          </c:dPt>
          <c:dPt>
            <c:idx val="4"/>
            <c:invertIfNegative val="0"/>
            <c:bubble3D val="0"/>
            <c:spPr>
              <a:solidFill>
                <a:srgbClr val="7CCA94"/>
              </a:solidFill>
              <a:ln w="19050">
                <a:noFill/>
              </a:ln>
              <a:effectLst/>
            </c:spPr>
            <c:extLst>
              <c:ext xmlns:c16="http://schemas.microsoft.com/office/drawing/2014/chart" uri="{C3380CC4-5D6E-409C-BE32-E72D297353CC}">
                <c16:uniqueId val="{00000008-65C4-4AF6-A90E-DD738C3AE5F1}"/>
              </c:ext>
            </c:extLst>
          </c:dPt>
          <c:dPt>
            <c:idx val="5"/>
            <c:invertIfNegative val="0"/>
            <c:bubble3D val="0"/>
            <c:spPr>
              <a:solidFill>
                <a:srgbClr val="76C88F"/>
              </a:solidFill>
              <a:ln w="19050">
                <a:noFill/>
              </a:ln>
              <a:effectLst/>
            </c:spPr>
            <c:extLst>
              <c:ext xmlns:c16="http://schemas.microsoft.com/office/drawing/2014/chart" uri="{C3380CC4-5D6E-409C-BE32-E72D297353CC}">
                <c16:uniqueId val="{0000000A-65C4-4AF6-A90E-DD738C3AE5F1}"/>
              </c:ext>
            </c:extLst>
          </c:dPt>
          <c:dPt>
            <c:idx val="6"/>
            <c:invertIfNegative val="0"/>
            <c:bubble3D val="0"/>
            <c:spPr>
              <a:solidFill>
                <a:srgbClr val="D8F0DF"/>
              </a:solidFill>
              <a:ln w="19050">
                <a:noFill/>
              </a:ln>
              <a:effectLst/>
            </c:spPr>
            <c:extLst>
              <c:ext xmlns:c16="http://schemas.microsoft.com/office/drawing/2014/chart" uri="{C3380CC4-5D6E-409C-BE32-E72D297353CC}">
                <c16:uniqueId val="{0000000C-65C4-4AF6-A90E-DD738C3AE5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10-1010</c:v>
                </c:pt>
                <c:pt idx="1">
                  <c:v>1010-2010</c:v>
                </c:pt>
                <c:pt idx="2">
                  <c:v>2010-3010</c:v>
                </c:pt>
                <c:pt idx="3">
                  <c:v>3010-4010</c:v>
                </c:pt>
                <c:pt idx="4">
                  <c:v>4010-5010</c:v>
                </c:pt>
                <c:pt idx="5">
                  <c:v>6010-7010</c:v>
                </c:pt>
                <c:pt idx="6">
                  <c:v>7010-8010</c:v>
                </c:pt>
              </c:strCache>
            </c:strRef>
          </c:cat>
          <c:val>
            <c:numRef>
              <c:f>'Transaction By Amount'!$B$4:$B$11</c:f>
              <c:numCache>
                <c:formatCode>General</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B-65C4-4AF6-A90E-DD738C3AE5F1}"/>
            </c:ext>
          </c:extLst>
        </c:ser>
        <c:dLbls>
          <c:showLegendKey val="0"/>
          <c:showVal val="0"/>
          <c:showCatName val="0"/>
          <c:showSerName val="0"/>
          <c:showPercent val="0"/>
          <c:showBubbleSize val="0"/>
        </c:dLbls>
        <c:gapWidth val="30"/>
        <c:axId val="436954888"/>
        <c:axId val="347251216"/>
      </c:barChart>
      <c:valAx>
        <c:axId val="347251216"/>
        <c:scaling>
          <c:orientation val="minMax"/>
        </c:scaling>
        <c:delete val="1"/>
        <c:axPos val="l"/>
        <c:numFmt formatCode="General" sourceLinked="1"/>
        <c:majorTickMark val="out"/>
        <c:minorTickMark val="none"/>
        <c:tickLblPos val="nextTo"/>
        <c:crossAx val="436954888"/>
        <c:crosses val="autoZero"/>
        <c:crossBetween val="between"/>
      </c:valAx>
      <c:catAx>
        <c:axId val="436954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72512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CHIBUIKEM.xlsx]Top Ship Cities!PivotTable1</c:name>
    <c:fmtId val="9"/>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Top 6 Ship Cities</a:t>
            </a:r>
            <a:r>
              <a:rPr lang="en-US" b="1" baseline="0">
                <a:solidFill>
                  <a:srgbClr val="235733"/>
                </a:solidFill>
              </a:rPr>
              <a:t> By Revenue</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75000"/>
            </a:schemeClr>
          </a:solidFill>
          <a:ln w="19050">
            <a:noFill/>
          </a:ln>
          <a:effectLst/>
        </c:spPr>
      </c:pivotFmt>
      <c:pivotFmt>
        <c:idx val="11"/>
        <c:spPr>
          <a:solidFill>
            <a:schemeClr val="accent1">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accent1">
              <a:lumMod val="20000"/>
              <a:lumOff val="80000"/>
            </a:schemeClr>
          </a:solidFill>
          <a:ln w="19050">
            <a:noFill/>
          </a:ln>
          <a:effectLst/>
        </c:spPr>
      </c:pivotFmt>
      <c:pivotFmt>
        <c:idx val="14"/>
        <c:spPr>
          <a:ln w="28575" cap="rnd">
            <a:solidFill>
              <a:srgbClr val="2357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noFill/>
          </a:ln>
          <a:effectLst/>
        </c:spPr>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75000"/>
            </a:schemeClr>
          </a:solidFill>
          <a:ln w="19050">
            <a:noFill/>
          </a:ln>
          <a:effectLst/>
        </c:spPr>
      </c:pivotFmt>
      <c:pivotFmt>
        <c:idx val="19"/>
        <c:spPr>
          <a:ln w="28575" cap="rnd">
            <a:solidFill>
              <a:srgbClr val="235733"/>
            </a:solidFill>
            <a:round/>
          </a:ln>
          <a:effectLst/>
        </c:spPr>
        <c:marker>
          <c:symbol val="none"/>
        </c:marker>
      </c:pivotFmt>
      <c:pivotFmt>
        <c:idx val="20"/>
        <c:spPr>
          <a:ln w="28575" cap="rnd">
            <a:solidFill>
              <a:srgbClr val="235733"/>
            </a:solidFill>
            <a:round/>
          </a:ln>
          <a:effectLst/>
        </c:spPr>
        <c:marker>
          <c:symbol val="none"/>
        </c:marker>
      </c:pivotFmt>
      <c:pivotFmt>
        <c:idx val="21"/>
        <c:spPr>
          <a:ln w="28575" cap="rnd">
            <a:solidFill>
              <a:srgbClr val="235733"/>
            </a:solidFill>
            <a:round/>
          </a:ln>
          <a:effectLst/>
        </c:spPr>
        <c:marker>
          <c:symbol val="none"/>
        </c:marker>
      </c:pivotFmt>
      <c:pivotFmt>
        <c:idx val="22"/>
        <c:spPr>
          <a:ln w="28575" cap="rnd">
            <a:solidFill>
              <a:srgbClr val="235733"/>
            </a:solidFill>
            <a:round/>
          </a:ln>
          <a:effectLst/>
        </c:spPr>
        <c:marker>
          <c:symbol val="none"/>
        </c:marker>
      </c:pivotFmt>
      <c:pivotFmt>
        <c:idx val="23"/>
        <c:spPr>
          <a:ln w="28575" cap="rnd">
            <a:solidFill>
              <a:srgbClr val="235733"/>
            </a:solidFill>
            <a:round/>
          </a:ln>
          <a:effectLst/>
        </c:spPr>
        <c:marker>
          <c:symbol val="none"/>
        </c:marker>
      </c:pivotFmt>
    </c:pivotFmts>
    <c:plotArea>
      <c:layout/>
      <c:radarChart>
        <c:radarStyle val="marker"/>
        <c:varyColors val="0"/>
        <c:ser>
          <c:idx val="0"/>
          <c:order val="0"/>
          <c:tx>
            <c:strRef>
              <c:f>'Top Ship Cities'!$B$3</c:f>
              <c:strCache>
                <c:ptCount val="1"/>
                <c:pt idx="0">
                  <c:v>Total</c:v>
                </c:pt>
              </c:strCache>
            </c:strRef>
          </c:tx>
          <c:spPr>
            <a:ln w="28575" cap="rnd">
              <a:solidFill>
                <a:srgbClr val="235733"/>
              </a:solidFill>
              <a:round/>
            </a:ln>
            <a:effectLst/>
          </c:spPr>
          <c:marker>
            <c:symbol val="none"/>
          </c:marker>
          <c:dPt>
            <c:idx val="0"/>
            <c:marker>
              <c:symbol val="none"/>
            </c:marker>
            <c:bubble3D val="0"/>
            <c:spPr>
              <a:ln w="28575" cap="rnd">
                <a:solidFill>
                  <a:srgbClr val="235733"/>
                </a:solidFill>
                <a:round/>
              </a:ln>
              <a:effectLst/>
            </c:spPr>
            <c:extLst>
              <c:ext xmlns:c16="http://schemas.microsoft.com/office/drawing/2014/chart" uri="{C3380CC4-5D6E-409C-BE32-E72D297353CC}">
                <c16:uniqueId val="{00000001-6354-4D43-B2F8-53C32F29A274}"/>
              </c:ext>
            </c:extLst>
          </c:dPt>
          <c:dPt>
            <c:idx val="1"/>
            <c:marker>
              <c:symbol val="none"/>
            </c:marker>
            <c:bubble3D val="0"/>
            <c:spPr>
              <a:ln w="28575" cap="rnd">
                <a:solidFill>
                  <a:srgbClr val="235733"/>
                </a:solidFill>
                <a:round/>
              </a:ln>
              <a:effectLst/>
            </c:spPr>
            <c:extLst>
              <c:ext xmlns:c16="http://schemas.microsoft.com/office/drawing/2014/chart" uri="{C3380CC4-5D6E-409C-BE32-E72D297353CC}">
                <c16:uniqueId val="{00000003-6354-4D43-B2F8-53C32F29A274}"/>
              </c:ext>
            </c:extLst>
          </c:dPt>
          <c:dPt>
            <c:idx val="2"/>
            <c:marker>
              <c:symbol val="none"/>
            </c:marker>
            <c:bubble3D val="0"/>
            <c:spPr>
              <a:ln w="28575" cap="rnd">
                <a:solidFill>
                  <a:srgbClr val="235733"/>
                </a:solidFill>
                <a:round/>
              </a:ln>
              <a:effectLst/>
            </c:spPr>
            <c:extLst>
              <c:ext xmlns:c16="http://schemas.microsoft.com/office/drawing/2014/chart" uri="{C3380CC4-5D6E-409C-BE32-E72D297353CC}">
                <c16:uniqueId val="{00000005-6354-4D43-B2F8-53C32F29A274}"/>
              </c:ext>
            </c:extLst>
          </c:dPt>
          <c:dPt>
            <c:idx val="3"/>
            <c:marker>
              <c:symbol val="none"/>
            </c:marker>
            <c:bubble3D val="0"/>
            <c:spPr>
              <a:ln w="28575" cap="rnd">
                <a:solidFill>
                  <a:srgbClr val="235733"/>
                </a:solidFill>
                <a:round/>
              </a:ln>
              <a:effectLst/>
            </c:spPr>
            <c:extLst>
              <c:ext xmlns:c16="http://schemas.microsoft.com/office/drawing/2014/chart" uri="{C3380CC4-5D6E-409C-BE32-E72D297353CC}">
                <c16:uniqueId val="{00000007-6354-4D43-B2F8-53C32F29A274}"/>
              </c:ext>
            </c:extLst>
          </c:dPt>
          <c:dPt>
            <c:idx val="4"/>
            <c:marker>
              <c:symbol val="none"/>
            </c:marker>
            <c:bubble3D val="0"/>
            <c:spPr>
              <a:ln w="28575" cap="rnd">
                <a:solidFill>
                  <a:srgbClr val="235733"/>
                </a:solidFill>
                <a:round/>
              </a:ln>
              <a:effectLst/>
            </c:spPr>
            <c:extLst>
              <c:ext xmlns:c16="http://schemas.microsoft.com/office/drawing/2014/chart" uri="{C3380CC4-5D6E-409C-BE32-E72D297353CC}">
                <c16:uniqueId val="{00000008-BC38-438E-AA69-756799E2DBB0}"/>
              </c:ext>
            </c:extLst>
          </c:dPt>
          <c:dPt>
            <c:idx val="5"/>
            <c:marker>
              <c:symbol val="none"/>
            </c:marker>
            <c:bubble3D val="0"/>
            <c:spPr>
              <a:ln w="28575" cap="rnd">
                <a:solidFill>
                  <a:srgbClr val="235733"/>
                </a:solidFill>
                <a:round/>
              </a:ln>
              <a:effectLst/>
            </c:spPr>
            <c:extLst>
              <c:ext xmlns:c16="http://schemas.microsoft.com/office/drawing/2014/chart" uri="{C3380CC4-5D6E-409C-BE32-E72D297353CC}">
                <c16:uniqueId val="{0000000A-BC38-438E-AA69-756799E2DB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Ship Cities'!$A$4:$A$10</c:f>
              <c:strCache>
                <c:ptCount val="6"/>
                <c:pt idx="0">
                  <c:v>New York</c:v>
                </c:pt>
                <c:pt idx="1">
                  <c:v>Portland</c:v>
                </c:pt>
                <c:pt idx="2">
                  <c:v>Miami</c:v>
                </c:pt>
                <c:pt idx="3">
                  <c:v>Memphis</c:v>
                </c:pt>
                <c:pt idx="4">
                  <c:v>Chicago</c:v>
                </c:pt>
                <c:pt idx="5">
                  <c:v>Milwaukee</c:v>
                </c:pt>
              </c:strCache>
            </c:strRef>
          </c:cat>
          <c:val>
            <c:numRef>
              <c:f>'Top Ship Cities'!$B$4:$B$10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8-6354-4D43-B2F8-53C32F29A274}"/>
            </c:ext>
          </c:extLst>
        </c:ser>
        <c:dLbls>
          <c:showLegendKey val="0"/>
          <c:showVal val="1"/>
          <c:showCatName val="0"/>
          <c:showSerName val="0"/>
          <c:showPercent val="0"/>
          <c:showBubbleSize val="0"/>
        </c:dLbls>
        <c:axId val="436954888"/>
        <c:axId val="347251216"/>
      </c:radarChart>
      <c:valAx>
        <c:axId val="34725121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436954888"/>
        <c:crosses val="autoZero"/>
        <c:crossBetween val="between"/>
      </c:valAx>
      <c:catAx>
        <c:axId val="436954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72512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CHIBUIKEM.xlsx]Cities Performance!PivotTable1</c:name>
    <c:fmtId val="7"/>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Cities</a:t>
            </a:r>
            <a:r>
              <a:rPr lang="en-US" b="1" baseline="0">
                <a:solidFill>
                  <a:srgbClr val="235733"/>
                </a:solidFill>
              </a:rPr>
              <a:t> Performance By Revenue</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rgbClr val="2D7142"/>
          </a:solidFill>
          <a:ln w="19050">
            <a:noFill/>
          </a:ln>
          <a:effectLst/>
        </c:spPr>
      </c:pivotFmt>
      <c:pivotFmt>
        <c:idx val="11"/>
        <c:spPr>
          <a:solidFill>
            <a:srgbClr val="46B067"/>
          </a:solidFill>
          <a:ln w="19050">
            <a:noFill/>
          </a:ln>
          <a:effectLst/>
        </c:spPr>
      </c:pivotFmt>
      <c:pivotFmt>
        <c:idx val="12"/>
        <c:spPr>
          <a:solidFill>
            <a:srgbClr val="7CCA94"/>
          </a:solidFill>
          <a:ln w="19050">
            <a:noFill/>
          </a:ln>
          <a:effectLst/>
        </c:spPr>
      </c:pivotFmt>
      <c:pivotFmt>
        <c:idx val="13"/>
        <c:spPr>
          <a:solidFill>
            <a:srgbClr val="D8F0DF"/>
          </a:solidFill>
          <a:ln w="19050">
            <a:noFill/>
          </a:ln>
          <a:effectLst/>
        </c:spPr>
      </c:pivotFmt>
      <c:pivotFmt>
        <c:idx val="14"/>
        <c:spPr>
          <a:solidFill>
            <a:srgbClr val="235733"/>
          </a:solidFill>
          <a:ln w="19050">
            <a:noFill/>
          </a:ln>
          <a:effectLst/>
        </c:spPr>
      </c:pivotFmt>
    </c:pivotFmts>
    <c:plotArea>
      <c:layout/>
      <c:barChart>
        <c:barDir val="bar"/>
        <c:grouping val="clustered"/>
        <c:varyColors val="0"/>
        <c:ser>
          <c:idx val="0"/>
          <c:order val="0"/>
          <c:tx>
            <c:strRef>
              <c:f>'Cities Performance'!$B$3</c:f>
              <c:strCache>
                <c:ptCount val="1"/>
                <c:pt idx="0">
                  <c:v>Total</c:v>
                </c:pt>
              </c:strCache>
            </c:strRef>
          </c:tx>
          <c:spPr>
            <a:solidFill>
              <a:schemeClr val="accent1">
                <a:lumMod val="50000"/>
              </a:schemeClr>
            </a:solidFill>
            <a:ln w="19050">
              <a:noFill/>
            </a:ln>
            <a:effectLst/>
          </c:spPr>
          <c:invertIfNegative val="0"/>
          <c:dPt>
            <c:idx val="0"/>
            <c:invertIfNegative val="0"/>
            <c:bubble3D val="0"/>
            <c:spPr>
              <a:solidFill>
                <a:srgbClr val="D8F0DF"/>
              </a:solidFill>
              <a:ln w="19050">
                <a:noFill/>
              </a:ln>
              <a:effectLst/>
            </c:spPr>
            <c:extLst>
              <c:ext xmlns:c16="http://schemas.microsoft.com/office/drawing/2014/chart" uri="{C3380CC4-5D6E-409C-BE32-E72D297353CC}">
                <c16:uniqueId val="{00000001-A721-4A13-A39F-2D7728F84357}"/>
              </c:ext>
            </c:extLst>
          </c:dPt>
          <c:dPt>
            <c:idx val="1"/>
            <c:invertIfNegative val="0"/>
            <c:bubble3D val="0"/>
            <c:spPr>
              <a:solidFill>
                <a:srgbClr val="7CCA94"/>
              </a:solidFill>
              <a:ln w="19050">
                <a:noFill/>
              </a:ln>
              <a:effectLst/>
            </c:spPr>
            <c:extLst>
              <c:ext xmlns:c16="http://schemas.microsoft.com/office/drawing/2014/chart" uri="{C3380CC4-5D6E-409C-BE32-E72D297353CC}">
                <c16:uniqueId val="{00000003-A721-4A13-A39F-2D7728F84357}"/>
              </c:ext>
            </c:extLst>
          </c:dPt>
          <c:dPt>
            <c:idx val="2"/>
            <c:invertIfNegative val="0"/>
            <c:bubble3D val="0"/>
            <c:spPr>
              <a:solidFill>
                <a:srgbClr val="46B067"/>
              </a:solidFill>
              <a:ln w="19050">
                <a:noFill/>
              </a:ln>
              <a:effectLst/>
            </c:spPr>
            <c:extLst>
              <c:ext xmlns:c16="http://schemas.microsoft.com/office/drawing/2014/chart" uri="{C3380CC4-5D6E-409C-BE32-E72D297353CC}">
                <c16:uniqueId val="{00000005-A721-4A13-A39F-2D7728F84357}"/>
              </c:ext>
            </c:extLst>
          </c:dPt>
          <c:dPt>
            <c:idx val="3"/>
            <c:invertIfNegative val="0"/>
            <c:bubble3D val="0"/>
            <c:spPr>
              <a:solidFill>
                <a:srgbClr val="2D7142"/>
              </a:solidFill>
              <a:ln w="19050">
                <a:noFill/>
              </a:ln>
              <a:effectLst/>
            </c:spPr>
            <c:extLst>
              <c:ext xmlns:c16="http://schemas.microsoft.com/office/drawing/2014/chart" uri="{C3380CC4-5D6E-409C-BE32-E72D297353CC}">
                <c16:uniqueId val="{00000007-A721-4A13-A39F-2D7728F84357}"/>
              </c:ext>
            </c:extLst>
          </c:dPt>
          <c:dPt>
            <c:idx val="4"/>
            <c:invertIfNegative val="0"/>
            <c:bubble3D val="0"/>
            <c:spPr>
              <a:solidFill>
                <a:srgbClr val="235733"/>
              </a:solidFill>
              <a:ln w="19050">
                <a:noFill/>
              </a:ln>
              <a:effectLst/>
            </c:spPr>
            <c:extLst>
              <c:ext xmlns:c16="http://schemas.microsoft.com/office/drawing/2014/chart" uri="{C3380CC4-5D6E-409C-BE32-E72D297353CC}">
                <c16:uniqueId val="{00000008-90F7-485F-8E37-F1D57904E3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 Performance'!$A$4:$A$9</c:f>
              <c:strCache>
                <c:ptCount val="5"/>
                <c:pt idx="0">
                  <c:v>Chicago</c:v>
                </c:pt>
                <c:pt idx="1">
                  <c:v>Memphis</c:v>
                </c:pt>
                <c:pt idx="2">
                  <c:v>Miami</c:v>
                </c:pt>
                <c:pt idx="3">
                  <c:v>Portland</c:v>
                </c:pt>
                <c:pt idx="4">
                  <c:v>New York</c:v>
                </c:pt>
              </c:strCache>
            </c:strRef>
          </c:cat>
          <c:val>
            <c:numRef>
              <c:f>'Cities Performance'!$B$4:$B$9</c:f>
              <c:numCache>
                <c:formatCode>"$"#,##0.00</c:formatCode>
                <c:ptCount val="5"/>
                <c:pt idx="0">
                  <c:v>41095.01</c:v>
                </c:pt>
                <c:pt idx="1">
                  <c:v>43713</c:v>
                </c:pt>
                <c:pt idx="2">
                  <c:v>50145.330000000009</c:v>
                </c:pt>
                <c:pt idx="3">
                  <c:v>50208.35</c:v>
                </c:pt>
                <c:pt idx="4">
                  <c:v>67180.5</c:v>
                </c:pt>
              </c:numCache>
            </c:numRef>
          </c:val>
          <c:extLst>
            <c:ext xmlns:c16="http://schemas.microsoft.com/office/drawing/2014/chart" uri="{C3380CC4-5D6E-409C-BE32-E72D297353CC}">
              <c16:uniqueId val="{00000008-A721-4A13-A39F-2D7728F84357}"/>
            </c:ext>
          </c:extLst>
        </c:ser>
        <c:dLbls>
          <c:showLegendKey val="0"/>
          <c:showVal val="0"/>
          <c:showCatName val="0"/>
          <c:showSerName val="0"/>
          <c:showPercent val="0"/>
          <c:showBubbleSize val="0"/>
        </c:dLbls>
        <c:gapWidth val="20"/>
        <c:axId val="436954888"/>
        <c:axId val="347251216"/>
      </c:barChart>
      <c:valAx>
        <c:axId val="34725121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436954888"/>
        <c:crosses val="autoZero"/>
        <c:crossBetween val="between"/>
      </c:valAx>
      <c:catAx>
        <c:axId val="436954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472512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By Region!PivotTable1</c:name>
    <c:fmtId val="0"/>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Sales By Region</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864F"/>
          </a:solidFill>
          <a:ln w="19050">
            <a:noFill/>
          </a:ln>
          <a:effectLst/>
        </c:spPr>
      </c:pivotFmt>
      <c:pivotFmt>
        <c:idx val="2"/>
        <c:spPr>
          <a:solidFill>
            <a:srgbClr val="46B067"/>
          </a:solidFill>
          <a:ln w="19050">
            <a:noFill/>
          </a:ln>
          <a:effectLst/>
        </c:spPr>
      </c:pivotFmt>
      <c:pivotFmt>
        <c:idx val="3"/>
        <c:spPr>
          <a:solidFill>
            <a:srgbClr val="7CCA94"/>
          </a:solidFill>
          <a:ln w="19050">
            <a:noFill/>
          </a:ln>
          <a:effectLst/>
        </c:spPr>
      </c:pivotFmt>
      <c:pivotFmt>
        <c:idx val="4"/>
        <c:spPr>
          <a:solidFill>
            <a:srgbClr val="235733"/>
          </a:solidFill>
          <a:ln w="19050">
            <a:noFill/>
          </a:ln>
          <a:effectLst/>
        </c:spPr>
      </c:pivotFmt>
    </c:pivotFmts>
    <c:plotArea>
      <c:layout/>
      <c:pieChart>
        <c:varyColors val="1"/>
        <c:ser>
          <c:idx val="0"/>
          <c:order val="0"/>
          <c:tx>
            <c:strRef>
              <c:f>'Sales By Region'!$B$3</c:f>
              <c:strCache>
                <c:ptCount val="1"/>
                <c:pt idx="0">
                  <c:v>Total</c:v>
                </c:pt>
              </c:strCache>
            </c:strRef>
          </c:tx>
          <c:spPr>
            <a:solidFill>
              <a:srgbClr val="235733"/>
            </a:solidFill>
            <a:ln>
              <a:noFill/>
            </a:ln>
          </c:spPr>
          <c:explosion val="2"/>
          <c:dPt>
            <c:idx val="0"/>
            <c:bubble3D val="0"/>
            <c:spPr>
              <a:solidFill>
                <a:srgbClr val="235733"/>
              </a:solidFill>
              <a:ln w="19050">
                <a:noFill/>
              </a:ln>
              <a:effectLst/>
            </c:spPr>
            <c:extLst>
              <c:ext xmlns:c16="http://schemas.microsoft.com/office/drawing/2014/chart" uri="{C3380CC4-5D6E-409C-BE32-E72D297353CC}">
                <c16:uniqueId val="{00000001-44B9-484A-A78F-11B617E32C39}"/>
              </c:ext>
            </c:extLst>
          </c:dPt>
          <c:dPt>
            <c:idx val="1"/>
            <c:bubble3D val="0"/>
            <c:spPr>
              <a:solidFill>
                <a:srgbClr val="36864F"/>
              </a:solidFill>
              <a:ln w="19050">
                <a:noFill/>
              </a:ln>
              <a:effectLst/>
            </c:spPr>
            <c:extLst>
              <c:ext xmlns:c16="http://schemas.microsoft.com/office/drawing/2014/chart" uri="{C3380CC4-5D6E-409C-BE32-E72D297353CC}">
                <c16:uniqueId val="{00000002-4C8E-4BAF-8A81-C388E2D4C0A2}"/>
              </c:ext>
            </c:extLst>
          </c:dPt>
          <c:dPt>
            <c:idx val="2"/>
            <c:bubble3D val="0"/>
            <c:spPr>
              <a:solidFill>
                <a:srgbClr val="46B067"/>
              </a:solidFill>
              <a:ln w="19050">
                <a:noFill/>
              </a:ln>
              <a:effectLst/>
            </c:spPr>
            <c:extLst>
              <c:ext xmlns:c16="http://schemas.microsoft.com/office/drawing/2014/chart" uri="{C3380CC4-5D6E-409C-BE32-E72D297353CC}">
                <c16:uniqueId val="{00000003-4C8E-4BAF-8A81-C388E2D4C0A2}"/>
              </c:ext>
            </c:extLst>
          </c:dPt>
          <c:dPt>
            <c:idx val="3"/>
            <c:bubble3D val="0"/>
            <c:spPr>
              <a:solidFill>
                <a:srgbClr val="7CCA94"/>
              </a:solidFill>
              <a:ln w="19050">
                <a:noFill/>
              </a:ln>
              <a:effectLst/>
            </c:spPr>
            <c:extLst>
              <c:ext xmlns:c16="http://schemas.microsoft.com/office/drawing/2014/chart" uri="{C3380CC4-5D6E-409C-BE32-E72D297353CC}">
                <c16:uniqueId val="{00000004-4C8E-4BAF-8A81-C388E2D4C0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0-4C8E-4BAF-8A81-C388E2D4C0A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Trend!PivotTable1</c:name>
    <c:fmtId val="13"/>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Sales Trend</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rgbClr val="245A8C"/>
          </a:solidFill>
          <a:ln w="19050">
            <a:noFill/>
          </a:ln>
          <a:effectLst/>
        </c:spPr>
      </c:pivotFmt>
      <c:pivotFmt>
        <c:idx val="23"/>
        <c:spPr>
          <a:solidFill>
            <a:srgbClr val="2A69A2"/>
          </a:solidFill>
          <a:ln w="19050">
            <a:noFill/>
          </a:ln>
          <a:effectLst/>
        </c:spPr>
      </c:pivotFmt>
      <c:pivotFmt>
        <c:idx val="24"/>
        <c:spPr>
          <a:solidFill>
            <a:srgbClr val="3381C7"/>
          </a:solidFill>
          <a:ln w="19050">
            <a:noFill/>
          </a:ln>
          <a:effectLst/>
        </c:spPr>
      </c:pivotFmt>
      <c:pivotFmt>
        <c:idx val="25"/>
        <c:spPr>
          <a:solidFill>
            <a:srgbClr val="5195D3"/>
          </a:solidFill>
          <a:ln w="19050">
            <a:noFill/>
          </a:ln>
          <a:effectLst/>
        </c:spPr>
      </c:pivotFmt>
      <c:pivotFmt>
        <c:idx val="26"/>
        <c:spPr>
          <a:solidFill>
            <a:srgbClr val="73A9DB"/>
          </a:solidFill>
          <a:ln w="19050">
            <a:noFill/>
          </a:ln>
          <a:effectLst/>
        </c:spPr>
      </c:pivotFmt>
      <c:pivotFmt>
        <c:idx val="27"/>
        <c:spPr>
          <a:solidFill>
            <a:srgbClr val="98C0E4"/>
          </a:solidFill>
          <a:ln w="19050">
            <a:noFill/>
          </a:ln>
          <a:effectLst/>
        </c:spPr>
      </c:pivotFmt>
      <c:pivotFmt>
        <c:idx val="28"/>
        <c:spPr>
          <a:solidFill>
            <a:srgbClr val="CEE1F2"/>
          </a:solidFill>
          <a:ln w="19050">
            <a:noFill/>
          </a:ln>
          <a:effectLst/>
        </c:spPr>
      </c:pivotFmt>
      <c:pivotFmt>
        <c:idx val="29"/>
        <c:spPr>
          <a:solidFill>
            <a:srgbClr val="D4E5F4"/>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235733"/>
            </a:solidFill>
            <a:round/>
          </a:ln>
          <a:effectLst/>
        </c:spPr>
        <c:marker>
          <c:symbol val="circle"/>
          <c:size val="5"/>
          <c:spPr>
            <a:solidFill>
              <a:srgbClr val="7CCA94"/>
            </a:solidFill>
            <a:ln w="9525">
              <a:solidFill>
                <a:srgbClr val="2357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4E5F4"/>
          </a:solidFill>
          <a:ln w="19050">
            <a:noFill/>
          </a:ln>
          <a:effectLst/>
        </c:spPr>
      </c:pivotFmt>
      <c:pivotFmt>
        <c:idx val="32"/>
        <c:spPr>
          <a:solidFill>
            <a:srgbClr val="CEE1F2"/>
          </a:solidFill>
          <a:ln w="19050">
            <a:noFill/>
          </a:ln>
          <a:effectLst/>
        </c:spPr>
      </c:pivotFmt>
      <c:pivotFmt>
        <c:idx val="33"/>
        <c:spPr>
          <a:solidFill>
            <a:srgbClr val="98C0E4"/>
          </a:solidFill>
          <a:ln w="19050">
            <a:noFill/>
          </a:ln>
          <a:effectLst/>
        </c:spPr>
      </c:pivotFmt>
      <c:pivotFmt>
        <c:idx val="34"/>
        <c:spPr>
          <a:solidFill>
            <a:srgbClr val="73A9DB"/>
          </a:solidFill>
          <a:ln w="19050">
            <a:noFill/>
          </a:ln>
          <a:effectLst/>
        </c:spPr>
      </c:pivotFmt>
      <c:pivotFmt>
        <c:idx val="35"/>
        <c:spPr>
          <a:solidFill>
            <a:srgbClr val="5195D3"/>
          </a:solidFill>
          <a:ln w="19050">
            <a:noFill/>
          </a:ln>
          <a:effectLst/>
        </c:spPr>
      </c:pivotFmt>
      <c:pivotFmt>
        <c:idx val="36"/>
        <c:spPr>
          <a:solidFill>
            <a:srgbClr val="3381C7"/>
          </a:solidFill>
          <a:ln w="19050">
            <a:noFill/>
          </a:ln>
          <a:effectLst/>
        </c:spPr>
      </c:pivotFmt>
      <c:pivotFmt>
        <c:idx val="37"/>
        <c:spPr>
          <a:solidFill>
            <a:srgbClr val="2A69A2"/>
          </a:solidFill>
          <a:ln w="19050">
            <a:noFill/>
          </a:ln>
          <a:effectLst/>
        </c:spPr>
      </c:pivotFmt>
      <c:pivotFmt>
        <c:idx val="38"/>
        <c:spPr>
          <a:solidFill>
            <a:srgbClr val="245A8C"/>
          </a:solidFill>
          <a:ln w="19050">
            <a:noFill/>
          </a:ln>
          <a:effectLst/>
        </c:spPr>
      </c:pivotFmt>
      <c:pivotFmt>
        <c:idx val="39"/>
        <c:spPr>
          <a:ln w="28575" cap="rnd">
            <a:solidFill>
              <a:srgbClr val="235733"/>
            </a:solidFill>
            <a:round/>
          </a:ln>
          <a:effectLst/>
        </c:spPr>
        <c:marker>
          <c:symbol val="circle"/>
          <c:size val="5"/>
        </c:marker>
      </c:pivotFmt>
      <c:pivotFmt>
        <c:idx val="40"/>
        <c:spPr>
          <a:ln w="28575" cap="rnd">
            <a:solidFill>
              <a:srgbClr val="235733"/>
            </a:solidFill>
            <a:round/>
          </a:ln>
          <a:effectLst/>
        </c:spPr>
        <c:marker>
          <c:symbol val="circle"/>
          <c:size val="5"/>
        </c:marker>
      </c:pivotFmt>
      <c:pivotFmt>
        <c:idx val="41"/>
        <c:spPr>
          <a:ln w="28575" cap="rnd">
            <a:solidFill>
              <a:srgbClr val="235733"/>
            </a:solidFill>
            <a:round/>
          </a:ln>
          <a:effectLst/>
        </c:spPr>
        <c:marker>
          <c:symbol val="circle"/>
          <c:size val="5"/>
        </c:marker>
      </c:pivotFmt>
      <c:pivotFmt>
        <c:idx val="42"/>
        <c:spPr>
          <a:ln w="28575" cap="rnd">
            <a:solidFill>
              <a:srgbClr val="235733"/>
            </a:solidFill>
            <a:round/>
          </a:ln>
          <a:effectLst/>
        </c:spPr>
        <c:marker>
          <c:symbol val="circle"/>
          <c:size val="5"/>
        </c:marker>
      </c:pivotFmt>
      <c:pivotFmt>
        <c:idx val="43"/>
        <c:spPr>
          <a:ln w="28575" cap="rnd">
            <a:solidFill>
              <a:srgbClr val="235733"/>
            </a:solidFill>
            <a:round/>
          </a:ln>
          <a:effectLst/>
        </c:spPr>
        <c:marker>
          <c:symbol val="circle"/>
          <c:size val="5"/>
        </c:marker>
      </c:pivotFmt>
      <c:pivotFmt>
        <c:idx val="44"/>
        <c:spPr>
          <a:ln w="28575" cap="rnd">
            <a:solidFill>
              <a:srgbClr val="235733"/>
            </a:solidFill>
            <a:round/>
          </a:ln>
          <a:effectLst/>
        </c:spPr>
        <c:marker>
          <c:symbol val="circle"/>
          <c:size val="5"/>
        </c:marker>
      </c:pivotFmt>
      <c:pivotFmt>
        <c:idx val="45"/>
        <c:spPr>
          <a:ln w="28575" cap="rnd">
            <a:solidFill>
              <a:srgbClr val="235733"/>
            </a:solidFill>
            <a:round/>
          </a:ln>
          <a:effectLst/>
        </c:spPr>
        <c:marker>
          <c:symbol val="circle"/>
          <c:size val="5"/>
        </c:marker>
      </c:pivotFmt>
      <c:pivotFmt>
        <c:idx val="46"/>
        <c:spPr>
          <a:ln w="28575" cap="rnd">
            <a:solidFill>
              <a:srgbClr val="235733"/>
            </a:solidFill>
            <a:round/>
          </a:ln>
          <a:effectLst/>
        </c:spPr>
        <c:marker>
          <c:symbol val="circle"/>
          <c:size val="5"/>
        </c:marker>
      </c:pivotFmt>
    </c:pivotFmts>
    <c:plotArea>
      <c:layout/>
      <c:lineChart>
        <c:grouping val="standard"/>
        <c:varyColors val="0"/>
        <c:ser>
          <c:idx val="0"/>
          <c:order val="0"/>
          <c:tx>
            <c:strRef>
              <c:f>'Sales Trend'!$B$3</c:f>
              <c:strCache>
                <c:ptCount val="1"/>
                <c:pt idx="0">
                  <c:v>Total</c:v>
                </c:pt>
              </c:strCache>
            </c:strRef>
          </c:tx>
          <c:spPr>
            <a:ln w="28575" cap="rnd">
              <a:solidFill>
                <a:srgbClr val="235733"/>
              </a:solidFill>
              <a:round/>
            </a:ln>
            <a:effectLst/>
          </c:spPr>
          <c:marker>
            <c:symbol val="circle"/>
            <c:size val="5"/>
            <c:spPr>
              <a:solidFill>
                <a:srgbClr val="7CCA94"/>
              </a:solidFill>
              <a:ln w="9525">
                <a:solidFill>
                  <a:srgbClr val="235733"/>
                </a:solidFill>
              </a:ln>
              <a:effectLst/>
            </c:spPr>
          </c:marker>
          <c:dPt>
            <c:idx val="0"/>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1-D45E-4931-AEE0-C62B43738175}"/>
              </c:ext>
            </c:extLst>
          </c:dPt>
          <c:dPt>
            <c:idx val="1"/>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3-D45E-4931-AEE0-C62B43738175}"/>
              </c:ext>
            </c:extLst>
          </c:dPt>
          <c:dPt>
            <c:idx val="2"/>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5-D45E-4931-AEE0-C62B43738175}"/>
              </c:ext>
            </c:extLst>
          </c:dPt>
          <c:dPt>
            <c:idx val="3"/>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7-D45E-4931-AEE0-C62B43738175}"/>
              </c:ext>
            </c:extLst>
          </c:dPt>
          <c:dPt>
            <c:idx val="4"/>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9-D45E-4931-AEE0-C62B43738175}"/>
              </c:ext>
            </c:extLst>
          </c:dPt>
          <c:dPt>
            <c:idx val="5"/>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B-D45E-4931-AEE0-C62B43738175}"/>
              </c:ext>
            </c:extLst>
          </c:dPt>
          <c:dPt>
            <c:idx val="6"/>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D-D45E-4931-AEE0-C62B43738175}"/>
              </c:ext>
            </c:extLst>
          </c:dPt>
          <c:dPt>
            <c:idx val="7"/>
            <c:marker>
              <c:symbol val="circle"/>
              <c:size val="5"/>
              <c:spPr>
                <a:solidFill>
                  <a:srgbClr val="7CCA94"/>
                </a:solidFill>
                <a:ln w="9525">
                  <a:solidFill>
                    <a:srgbClr val="235733"/>
                  </a:solidFill>
                </a:ln>
                <a:effectLst/>
              </c:spPr>
            </c:marker>
            <c:bubble3D val="0"/>
            <c:spPr>
              <a:ln w="28575" cap="rnd">
                <a:solidFill>
                  <a:srgbClr val="235733"/>
                </a:solidFill>
                <a:round/>
              </a:ln>
              <a:effectLst/>
            </c:spPr>
            <c:extLst>
              <c:ext xmlns:c16="http://schemas.microsoft.com/office/drawing/2014/chart" uri="{C3380CC4-5D6E-409C-BE32-E72D297353CC}">
                <c16:uniqueId val="{0000000F-D45E-4931-AEE0-C62B437381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Ref>
              <c:f>'Sales Trend'!$A$4:$A$16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'Sales Trend'!$B$4:$B$16</c:f>
              <c:numCache>
                <c:formatCode>"$"#,##0.00</c:formatCode>
                <c:ptCount val="12"/>
                <c:pt idx="0">
                  <c:v>66642.78</c:v>
                </c:pt>
                <c:pt idx="1">
                  <c:v>31773.429999999997</c:v>
                </c:pt>
                <c:pt idx="2">
                  <c:v>53033.59</c:v>
                </c:pt>
                <c:pt idx="3">
                  <c:v>31949.97</c:v>
                </c:pt>
                <c:pt idx="4">
                  <c:v>29921.459999999995</c:v>
                </c:pt>
                <c:pt idx="5">
                  <c:v>27318.539999999997</c:v>
                </c:pt>
                <c:pt idx="6">
                  <c:v>55601.61</c:v>
                </c:pt>
                <c:pt idx="7">
                  <c:v>34307.049999999996</c:v>
                </c:pt>
                <c:pt idx="8">
                  <c:v>20771.789999999997</c:v>
                </c:pt>
                <c:pt idx="9">
                  <c:v>30852.6</c:v>
                </c:pt>
                <c:pt idx="10">
                  <c:v>19985.5</c:v>
                </c:pt>
                <c:pt idx="11">
                  <c:v>32907.839999999997</c:v>
                </c:pt>
              </c:numCache>
            </c:numRef>
          </c:val>
          <c:smooth val="0"/>
          <c:extLst>
            <c:ext xmlns:c16="http://schemas.microsoft.com/office/drawing/2014/chart" uri="{C3380CC4-5D6E-409C-BE32-E72D297353CC}">
              <c16:uniqueId val="{00000011-D45E-4931-AEE0-C62B43738175}"/>
            </c:ext>
          </c:extLst>
        </c:ser>
        <c:dLbls>
          <c:showLegendKey val="0"/>
          <c:showVal val="0"/>
          <c:showCatName val="0"/>
          <c:showSerName val="0"/>
          <c:showPercent val="0"/>
          <c:showBubbleSize val="0"/>
        </c:dLbls>
        <c:marker val="1"/>
        <c:smooth val="0"/>
        <c:axId val="575352784"/>
        <c:axId val="575352064"/>
      </c:lineChart>
      <c:valAx>
        <c:axId val="575352064"/>
        <c:scaling>
          <c:orientation val="minMax"/>
        </c:scaling>
        <c:delete val="1"/>
        <c:axPos val="r"/>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between"/>
      </c:valAx>
      <c:catAx>
        <c:axId val="5753527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CHIBUIKEM.xlsx]Top customers!PivotTable1</c:name>
    <c:fmtId val="9"/>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Top Customers</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rgbClr val="2D7142"/>
          </a:solidFill>
          <a:ln w="19050">
            <a:noFill/>
          </a:ln>
          <a:effectLst/>
        </c:spPr>
      </c:pivotFmt>
      <c:pivotFmt>
        <c:idx val="23"/>
        <c:spPr>
          <a:solidFill>
            <a:srgbClr val="2D7142"/>
          </a:solidFill>
          <a:ln w="19050">
            <a:noFill/>
          </a:ln>
          <a:effectLst/>
        </c:spPr>
      </c:pivotFmt>
      <c:pivotFmt>
        <c:idx val="24"/>
        <c:spPr>
          <a:solidFill>
            <a:srgbClr val="2D7142"/>
          </a:solidFill>
          <a:ln w="19050">
            <a:noFill/>
          </a:ln>
          <a:effectLst/>
        </c:spPr>
      </c:pivotFmt>
      <c:pivotFmt>
        <c:idx val="25"/>
        <c:spPr>
          <a:solidFill>
            <a:srgbClr val="46B067"/>
          </a:solidFill>
          <a:ln w="19050">
            <a:noFill/>
          </a:ln>
          <a:effectLst/>
        </c:spPr>
      </c:pivotFmt>
      <c:pivotFmt>
        <c:idx val="26"/>
        <c:spPr>
          <a:solidFill>
            <a:srgbClr val="46B067"/>
          </a:solidFill>
          <a:ln w="19050">
            <a:noFill/>
          </a:ln>
          <a:effectLst/>
        </c:spPr>
      </c:pivotFmt>
      <c:pivotFmt>
        <c:idx val="27"/>
        <c:spPr>
          <a:solidFill>
            <a:srgbClr val="76C88F"/>
          </a:solidFill>
          <a:ln w="19050">
            <a:noFill/>
          </a:ln>
          <a:effectLst/>
        </c:spPr>
      </c:pivotFmt>
      <c:pivotFmt>
        <c:idx val="28"/>
        <c:spPr>
          <a:solidFill>
            <a:srgbClr val="9AD6AD"/>
          </a:solidFill>
          <a:ln w="19050">
            <a:noFill/>
          </a:ln>
          <a:effectLst/>
        </c:spPr>
      </c:pivotFmt>
      <c:pivotFmt>
        <c:idx val="29"/>
        <c:spPr>
          <a:solidFill>
            <a:srgbClr val="D8F0DF"/>
          </a:solidFill>
          <a:ln w="19050">
            <a:noFill/>
          </a:ln>
          <a:effectLst/>
        </c:spPr>
      </c:pivotFmt>
      <c:pivotFmt>
        <c:idx val="30"/>
        <c:spPr>
          <a:solidFill>
            <a:srgbClr val="235733"/>
          </a:solidFill>
          <a:ln w="19050">
            <a:noFill/>
          </a:ln>
          <a:effectLst/>
        </c:spPr>
      </c:pivotFmt>
      <c:pivotFmt>
        <c:idx val="31"/>
        <c:spPr>
          <a:solidFill>
            <a:srgbClr val="235733"/>
          </a:solidFill>
          <a:ln w="19050">
            <a:noFill/>
          </a:ln>
          <a:effectLst/>
        </c:spPr>
      </c:pivotFmt>
    </c:pivotFmts>
    <c:plotArea>
      <c:layout/>
      <c:barChart>
        <c:barDir val="col"/>
        <c:grouping val="clustered"/>
        <c:varyColors val="0"/>
        <c:ser>
          <c:idx val="0"/>
          <c:order val="0"/>
          <c:tx>
            <c:strRef>
              <c:f>'Top customers'!$B$3</c:f>
              <c:strCache>
                <c:ptCount val="1"/>
                <c:pt idx="0">
                  <c:v>Total</c:v>
                </c:pt>
              </c:strCache>
            </c:strRef>
          </c:tx>
          <c:spPr>
            <a:solidFill>
              <a:schemeClr val="accent1">
                <a:lumMod val="50000"/>
              </a:schemeClr>
            </a:solidFill>
            <a:ln w="19050">
              <a:noFill/>
            </a:ln>
            <a:effectLst/>
          </c:spPr>
          <c:invertIfNegative val="0"/>
          <c:dPt>
            <c:idx val="0"/>
            <c:invertIfNegative val="0"/>
            <c:bubble3D val="0"/>
            <c:spPr>
              <a:solidFill>
                <a:srgbClr val="D8F0DF"/>
              </a:solidFill>
              <a:ln w="19050">
                <a:noFill/>
              </a:ln>
              <a:effectLst/>
            </c:spPr>
            <c:extLst>
              <c:ext xmlns:c16="http://schemas.microsoft.com/office/drawing/2014/chart" uri="{C3380CC4-5D6E-409C-BE32-E72D297353CC}">
                <c16:uniqueId val="{0000000F-0FB5-4614-94CA-00BFEB1C2F01}"/>
              </c:ext>
            </c:extLst>
          </c:dPt>
          <c:dPt>
            <c:idx val="1"/>
            <c:invertIfNegative val="0"/>
            <c:bubble3D val="0"/>
            <c:spPr>
              <a:solidFill>
                <a:srgbClr val="9AD6AD"/>
              </a:solidFill>
              <a:ln w="19050">
                <a:noFill/>
              </a:ln>
              <a:effectLst/>
            </c:spPr>
            <c:extLst>
              <c:ext xmlns:c16="http://schemas.microsoft.com/office/drawing/2014/chart" uri="{C3380CC4-5D6E-409C-BE32-E72D297353CC}">
                <c16:uniqueId val="{0000000E-0FB5-4614-94CA-00BFEB1C2F01}"/>
              </c:ext>
            </c:extLst>
          </c:dPt>
          <c:dPt>
            <c:idx val="2"/>
            <c:invertIfNegative val="0"/>
            <c:bubble3D val="0"/>
            <c:spPr>
              <a:solidFill>
                <a:srgbClr val="76C88F"/>
              </a:solidFill>
              <a:ln w="19050">
                <a:noFill/>
              </a:ln>
              <a:effectLst/>
            </c:spPr>
            <c:extLst>
              <c:ext xmlns:c16="http://schemas.microsoft.com/office/drawing/2014/chart" uri="{C3380CC4-5D6E-409C-BE32-E72D297353CC}">
                <c16:uniqueId val="{00000001-0FB5-4614-94CA-00BFEB1C2F01}"/>
              </c:ext>
            </c:extLst>
          </c:dPt>
          <c:dPt>
            <c:idx val="3"/>
            <c:invertIfNegative val="0"/>
            <c:bubble3D val="0"/>
            <c:spPr>
              <a:solidFill>
                <a:srgbClr val="46B067"/>
              </a:solidFill>
              <a:ln w="19050">
                <a:noFill/>
              </a:ln>
              <a:effectLst/>
            </c:spPr>
            <c:extLst>
              <c:ext xmlns:c16="http://schemas.microsoft.com/office/drawing/2014/chart" uri="{C3380CC4-5D6E-409C-BE32-E72D297353CC}">
                <c16:uniqueId val="{00000003-0FB5-4614-94CA-00BFEB1C2F01}"/>
              </c:ext>
            </c:extLst>
          </c:dPt>
          <c:dPt>
            <c:idx val="4"/>
            <c:invertIfNegative val="0"/>
            <c:bubble3D val="0"/>
            <c:spPr>
              <a:solidFill>
                <a:srgbClr val="46B067"/>
              </a:solidFill>
              <a:ln w="19050">
                <a:noFill/>
              </a:ln>
              <a:effectLst/>
            </c:spPr>
            <c:extLst>
              <c:ext xmlns:c16="http://schemas.microsoft.com/office/drawing/2014/chart" uri="{C3380CC4-5D6E-409C-BE32-E72D297353CC}">
                <c16:uniqueId val="{00000005-0FB5-4614-94CA-00BFEB1C2F01}"/>
              </c:ext>
            </c:extLst>
          </c:dPt>
          <c:dPt>
            <c:idx val="5"/>
            <c:invertIfNegative val="0"/>
            <c:bubble3D val="0"/>
            <c:spPr>
              <a:solidFill>
                <a:srgbClr val="2D7142"/>
              </a:solidFill>
              <a:ln w="19050">
                <a:noFill/>
              </a:ln>
              <a:effectLst/>
            </c:spPr>
            <c:extLst>
              <c:ext xmlns:c16="http://schemas.microsoft.com/office/drawing/2014/chart" uri="{C3380CC4-5D6E-409C-BE32-E72D297353CC}">
                <c16:uniqueId val="{00000007-0FB5-4614-94CA-00BFEB1C2F01}"/>
              </c:ext>
            </c:extLst>
          </c:dPt>
          <c:dPt>
            <c:idx val="6"/>
            <c:invertIfNegative val="0"/>
            <c:bubble3D val="0"/>
            <c:spPr>
              <a:solidFill>
                <a:srgbClr val="2D7142"/>
              </a:solidFill>
              <a:ln w="19050">
                <a:noFill/>
              </a:ln>
              <a:effectLst/>
            </c:spPr>
            <c:extLst>
              <c:ext xmlns:c16="http://schemas.microsoft.com/office/drawing/2014/chart" uri="{C3380CC4-5D6E-409C-BE32-E72D297353CC}">
                <c16:uniqueId val="{00000009-0FB5-4614-94CA-00BFEB1C2F01}"/>
              </c:ext>
            </c:extLst>
          </c:dPt>
          <c:dPt>
            <c:idx val="7"/>
            <c:invertIfNegative val="0"/>
            <c:bubble3D val="0"/>
            <c:spPr>
              <a:solidFill>
                <a:srgbClr val="2D7142"/>
              </a:solidFill>
              <a:ln w="19050">
                <a:noFill/>
              </a:ln>
              <a:effectLst/>
            </c:spPr>
            <c:extLst>
              <c:ext xmlns:c16="http://schemas.microsoft.com/office/drawing/2014/chart" uri="{C3380CC4-5D6E-409C-BE32-E72D297353CC}">
                <c16:uniqueId val="{0000000B-0FB5-4614-94CA-00BFEB1C2F01}"/>
              </c:ext>
            </c:extLst>
          </c:dPt>
          <c:dPt>
            <c:idx val="8"/>
            <c:invertIfNegative val="0"/>
            <c:bubble3D val="0"/>
            <c:spPr>
              <a:solidFill>
                <a:srgbClr val="235733"/>
              </a:solidFill>
              <a:ln w="19050">
                <a:noFill/>
              </a:ln>
              <a:effectLst/>
            </c:spPr>
            <c:extLst>
              <c:ext xmlns:c16="http://schemas.microsoft.com/office/drawing/2014/chart" uri="{C3380CC4-5D6E-409C-BE32-E72D297353CC}">
                <c16:uniqueId val="{00000012-C4DE-4C02-8DFB-B0977630BA50}"/>
              </c:ext>
            </c:extLst>
          </c:dPt>
          <c:dPt>
            <c:idx val="9"/>
            <c:invertIfNegative val="0"/>
            <c:bubble3D val="0"/>
            <c:spPr>
              <a:solidFill>
                <a:srgbClr val="235733"/>
              </a:solidFill>
              <a:ln w="19050">
                <a:noFill/>
              </a:ln>
              <a:effectLst/>
            </c:spPr>
            <c:extLst>
              <c:ext xmlns:c16="http://schemas.microsoft.com/office/drawing/2014/chart" uri="{C3380CC4-5D6E-409C-BE32-E72D297353CC}">
                <c16:uniqueId val="{00000011-C4DE-4C02-8DFB-B0977630BA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Ref>
              <c:f>'Top customers'!$A$4:$A$14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customers'!$B$4:$B$14</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0D-0FB5-4614-94CA-00BFEB1C2F01}"/>
            </c:ext>
          </c:extLst>
        </c:ser>
        <c:dLbls>
          <c:showLegendKey val="0"/>
          <c:showVal val="0"/>
          <c:showCatName val="0"/>
          <c:showSerName val="0"/>
          <c:showPercent val="0"/>
          <c:showBubbleSize val="0"/>
        </c:dLbls>
        <c:gapWidth val="20"/>
        <c:axId val="575352784"/>
        <c:axId val="575352064"/>
      </c:barChart>
      <c:valAx>
        <c:axId val="575352064"/>
        <c:scaling>
          <c:orientation val="minMax"/>
        </c:scaling>
        <c:delete val="1"/>
        <c:axPos val="r"/>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between"/>
      </c:valAx>
      <c:catAx>
        <c:axId val="5753527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21 GEORGE NZUBECHI CHIBUIKEM.xlsx]Sales By Salesperson!PivotTable1</c:name>
    <c:fmtId val="5"/>
  </c:pivotSource>
  <c:chart>
    <c:title>
      <c:tx>
        <c:rich>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r>
              <a:rPr lang="en-US" b="1">
                <a:solidFill>
                  <a:srgbClr val="235733"/>
                </a:solidFill>
              </a:rPr>
              <a:t>Sales By Salesperson</a:t>
            </a:r>
          </a:p>
        </c:rich>
      </c:tx>
      <c:layout>
        <c:manualLayout>
          <c:xMode val="edge"/>
          <c:yMode val="edge"/>
          <c:x val="2.5270778652668392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35733"/>
              </a:solidFill>
              <a:latin typeface="+mn-lt"/>
              <a:ea typeface="+mn-ea"/>
              <a:cs typeface="+mn-cs"/>
            </a:defRPr>
          </a:pPr>
          <a:endParaRPr lang="en-NG"/>
        </a:p>
      </c:txPr>
    </c:title>
    <c:autoTitleDeleted val="0"/>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D7142"/>
          </a:solidFill>
          <a:ln w="19050">
            <a:noFill/>
          </a:ln>
          <a:effectLst/>
        </c:spPr>
      </c:pivotFmt>
      <c:pivotFmt>
        <c:idx val="10"/>
        <c:spPr>
          <a:solidFill>
            <a:srgbClr val="36864F"/>
          </a:solidFill>
          <a:ln w="19050">
            <a:noFill/>
          </a:ln>
          <a:effectLst/>
        </c:spPr>
      </c:pivotFmt>
      <c:pivotFmt>
        <c:idx val="11"/>
        <c:spPr>
          <a:solidFill>
            <a:srgbClr val="46B067"/>
          </a:solidFill>
          <a:ln w="19050">
            <a:noFill/>
          </a:ln>
          <a:effectLst/>
        </c:spPr>
      </c:pivotFmt>
      <c:pivotFmt>
        <c:idx val="12"/>
        <c:spPr>
          <a:solidFill>
            <a:srgbClr val="46B067"/>
          </a:solidFill>
          <a:ln w="19050">
            <a:noFill/>
          </a:ln>
          <a:effectLst/>
        </c:spPr>
      </c:pivotFmt>
      <c:pivotFmt>
        <c:idx val="13"/>
        <c:spPr>
          <a:solidFill>
            <a:srgbClr val="7CCA94"/>
          </a:solidFill>
          <a:ln w="19050">
            <a:noFill/>
          </a:ln>
          <a:effectLst/>
        </c:spPr>
      </c:pivotFmt>
      <c:pivotFmt>
        <c:idx val="14"/>
        <c:spPr>
          <a:solidFill>
            <a:srgbClr val="B8E2C5"/>
          </a:solidFill>
          <a:ln w="19050">
            <a:noFill/>
          </a:ln>
          <a:effectLst/>
        </c:spPr>
      </c:pivotFmt>
      <c:pivotFmt>
        <c:idx val="15"/>
        <c:spPr>
          <a:solidFill>
            <a:srgbClr val="235733"/>
          </a:solidFill>
          <a:ln w="19050">
            <a:noFill/>
          </a:ln>
          <a:effectLst/>
        </c:spPr>
      </c:pivotFmt>
      <c:pivotFmt>
        <c:idx val="16"/>
        <c:spPr>
          <a:solidFill>
            <a:srgbClr val="235733"/>
          </a:solidFill>
          <a:ln w="19050">
            <a:noFill/>
          </a:ln>
          <a:effectLst/>
        </c:spPr>
      </c:pivotFmt>
    </c:pivotFmts>
    <c:plotArea>
      <c:layout/>
      <c:barChart>
        <c:barDir val="bar"/>
        <c:grouping val="clustered"/>
        <c:varyColors val="0"/>
        <c:ser>
          <c:idx val="0"/>
          <c:order val="0"/>
          <c:tx>
            <c:strRef>
              <c:f>'Sales By Salesperson'!$B$3</c:f>
              <c:strCache>
                <c:ptCount val="1"/>
                <c:pt idx="0">
                  <c:v>Total</c:v>
                </c:pt>
              </c:strCache>
            </c:strRef>
          </c:tx>
          <c:spPr>
            <a:solidFill>
              <a:schemeClr val="accent1">
                <a:lumMod val="50000"/>
              </a:schemeClr>
            </a:solidFill>
            <a:ln w="19050">
              <a:noFill/>
            </a:ln>
            <a:effectLst/>
          </c:spPr>
          <c:invertIfNegative val="0"/>
          <c:dPt>
            <c:idx val="0"/>
            <c:invertIfNegative val="0"/>
            <c:bubble3D val="0"/>
            <c:spPr>
              <a:solidFill>
                <a:srgbClr val="235733"/>
              </a:solidFill>
              <a:ln w="19050">
                <a:noFill/>
              </a:ln>
              <a:effectLst/>
            </c:spPr>
            <c:extLst>
              <c:ext xmlns:c16="http://schemas.microsoft.com/office/drawing/2014/chart" uri="{C3380CC4-5D6E-409C-BE32-E72D297353CC}">
                <c16:uniqueId val="{0000000C-06A5-42BC-8C2E-57582A22F370}"/>
              </c:ext>
            </c:extLst>
          </c:dPt>
          <c:dPt>
            <c:idx val="1"/>
            <c:invertIfNegative val="0"/>
            <c:bubble3D val="0"/>
            <c:spPr>
              <a:solidFill>
                <a:srgbClr val="235733"/>
              </a:solidFill>
              <a:ln w="19050">
                <a:noFill/>
              </a:ln>
              <a:effectLst/>
            </c:spPr>
            <c:extLst>
              <c:ext xmlns:c16="http://schemas.microsoft.com/office/drawing/2014/chart" uri="{C3380CC4-5D6E-409C-BE32-E72D297353CC}">
                <c16:uniqueId val="{0000000D-06A5-42BC-8C2E-57582A22F370}"/>
              </c:ext>
            </c:extLst>
          </c:dPt>
          <c:dPt>
            <c:idx val="2"/>
            <c:invertIfNegative val="0"/>
            <c:bubble3D val="0"/>
            <c:spPr>
              <a:solidFill>
                <a:srgbClr val="2D7142"/>
              </a:solidFill>
              <a:ln w="19050">
                <a:noFill/>
              </a:ln>
              <a:effectLst/>
            </c:spPr>
            <c:extLst>
              <c:ext xmlns:c16="http://schemas.microsoft.com/office/drawing/2014/chart" uri="{C3380CC4-5D6E-409C-BE32-E72D297353CC}">
                <c16:uniqueId val="{00000005-93F7-4A4C-9CA4-B7B34F85FBD6}"/>
              </c:ext>
            </c:extLst>
          </c:dPt>
          <c:dPt>
            <c:idx val="3"/>
            <c:invertIfNegative val="0"/>
            <c:bubble3D val="0"/>
            <c:spPr>
              <a:solidFill>
                <a:srgbClr val="36864F"/>
              </a:solidFill>
              <a:ln w="19050">
                <a:noFill/>
              </a:ln>
              <a:effectLst/>
            </c:spPr>
            <c:extLst>
              <c:ext xmlns:c16="http://schemas.microsoft.com/office/drawing/2014/chart" uri="{C3380CC4-5D6E-409C-BE32-E72D297353CC}">
                <c16:uniqueId val="{00000007-93F7-4A4C-9CA4-B7B34F85FBD6}"/>
              </c:ext>
            </c:extLst>
          </c:dPt>
          <c:dPt>
            <c:idx val="4"/>
            <c:invertIfNegative val="0"/>
            <c:bubble3D val="0"/>
            <c:spPr>
              <a:solidFill>
                <a:srgbClr val="46B067"/>
              </a:solidFill>
              <a:ln w="19050">
                <a:noFill/>
              </a:ln>
              <a:effectLst/>
            </c:spPr>
            <c:extLst>
              <c:ext xmlns:c16="http://schemas.microsoft.com/office/drawing/2014/chart" uri="{C3380CC4-5D6E-409C-BE32-E72D297353CC}">
                <c16:uniqueId val="{0000000A-93F7-4A4C-9CA4-B7B34F85FBD6}"/>
              </c:ext>
            </c:extLst>
          </c:dPt>
          <c:dPt>
            <c:idx val="5"/>
            <c:invertIfNegative val="0"/>
            <c:bubble3D val="0"/>
            <c:spPr>
              <a:solidFill>
                <a:srgbClr val="46B067"/>
              </a:solidFill>
              <a:ln w="19050">
                <a:noFill/>
              </a:ln>
              <a:effectLst/>
            </c:spPr>
            <c:extLst>
              <c:ext xmlns:c16="http://schemas.microsoft.com/office/drawing/2014/chart" uri="{C3380CC4-5D6E-409C-BE32-E72D297353CC}">
                <c16:uniqueId val="{0000000B-93F7-4A4C-9CA4-B7B34F85FBD6}"/>
              </c:ext>
            </c:extLst>
          </c:dPt>
          <c:dPt>
            <c:idx val="6"/>
            <c:invertIfNegative val="0"/>
            <c:bubble3D val="0"/>
            <c:spPr>
              <a:solidFill>
                <a:srgbClr val="7CCA94"/>
              </a:solidFill>
              <a:ln w="19050">
                <a:noFill/>
              </a:ln>
              <a:effectLst/>
            </c:spPr>
            <c:extLst>
              <c:ext xmlns:c16="http://schemas.microsoft.com/office/drawing/2014/chart" uri="{C3380CC4-5D6E-409C-BE32-E72D297353CC}">
                <c16:uniqueId val="{0000000C-93F7-4A4C-9CA4-B7B34F85FBD6}"/>
              </c:ext>
            </c:extLst>
          </c:dPt>
          <c:dPt>
            <c:idx val="7"/>
            <c:invertIfNegative val="0"/>
            <c:bubble3D val="0"/>
            <c:spPr>
              <a:solidFill>
                <a:srgbClr val="B8E2C5"/>
              </a:solidFill>
              <a:ln w="19050">
                <a:noFill/>
              </a:ln>
              <a:effectLst/>
            </c:spPr>
            <c:extLst>
              <c:ext xmlns:c16="http://schemas.microsoft.com/office/drawing/2014/chart" uri="{C3380CC4-5D6E-409C-BE32-E72D297353CC}">
                <c16:uniqueId val="{0000000D-93F7-4A4C-9CA4-B7B34F85FB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Ref>
              <c:f>'Sales By Salesperson'!$A$4:$A$12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8-93F7-4A4C-9CA4-B7B34F85FBD6}"/>
            </c:ext>
          </c:extLst>
        </c:ser>
        <c:dLbls>
          <c:showLegendKey val="0"/>
          <c:showVal val="0"/>
          <c:showCatName val="0"/>
          <c:showSerName val="0"/>
          <c:showPercent val="0"/>
          <c:showBubbleSize val="0"/>
        </c:dLbls>
        <c:gapWidth val="20"/>
        <c:axId val="575352784"/>
        <c:axId val="575352064"/>
      </c:barChart>
      <c:valAx>
        <c:axId val="57535206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5352784"/>
        <c:crosses val="autoZero"/>
        <c:crossBetween val="between"/>
      </c:valAx>
      <c:catAx>
        <c:axId val="5753527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235733">
          <a:alpha val="79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A2965A7B-7B5D-4E15-AE9D-99757990FDDE}">
          <cx:tx>
            <cx:txData>
              <cx:f>_xlchart.v1.1</cx:f>
              <cx:v>Sum of Revenue</cx:v>
            </cx:txData>
          </cx:tx>
          <cx:spPr>
            <a:solidFill>
              <a:srgbClr val="235733"/>
            </a:solidFill>
          </cx:spPr>
          <cx:dataPt idx="1">
            <cx:spPr>
              <a:solidFill>
                <a:srgbClr val="36864F"/>
              </a:solidFill>
            </cx:spPr>
          </cx:dataPt>
          <cx:dataPt idx="2">
            <cx:spPr>
              <a:solidFill>
                <a:srgbClr val="46B067"/>
              </a:solidFill>
            </cx:spPr>
          </cx:dataPt>
          <cx:dataPt idx="3">
            <cx:spPr>
              <a:solidFill>
                <a:srgbClr val="7CCA94"/>
              </a:solidFill>
            </cx:spPr>
          </cx:dataPt>
          <cx:dataPt idx="4">
            <cx:spPr>
              <a:solidFill>
                <a:srgbClr val="9AD6AD"/>
              </a:solidFill>
            </cx:spPr>
          </cx:dataPt>
          <cx:dataPt idx="5">
            <cx:spPr>
              <a:solidFill>
                <a:srgbClr val="D8F0DF"/>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ln>
              <a:solidFill>
                <a:schemeClr val="accent1">
                  <a:shade val="15000"/>
                  <a:alpha val="0"/>
                </a:schemeClr>
              </a:solidFill>
            </a:ln>
          </cx:spPr>
        </cx:plotSurface>
        <cx:series layoutId="regionMap" uniqueId="{CF7A4EA6-D313-4619-A401-2503976E80D5}">
          <cx:tx>
            <cx:txData>
              <cx:f>_xlchart.v5.5</cx:f>
              <cx:v>Sum of Revenue</cx:v>
            </cx:txData>
          </cx:tx>
          <cx:spPr>
            <a:noFill/>
            <a:ln>
              <a:solidFill>
                <a:schemeClr val="tx1">
                  <a:lumMod val="95000"/>
                  <a:lumOff val="5000"/>
                </a:schemeClr>
              </a:solidFill>
            </a:ln>
          </cx:spPr>
          <cx:dataLabels>
            <cx:visibility seriesName="0" categoryName="1" value="0"/>
            <cx:separator>, </cx:separator>
          </cx:dataLabels>
          <cx:dataId val="0"/>
          <cx:layoutPr>
            <cx:regionLabelLayout val="showAll"/>
            <cx:geography cultureLanguage="en-US" cultureRegion="NG" attribution="Powered by Bing">
              <cx:geoCache provider="{E9337A44-BEBE-4D9F-B70C-5C5E7DAFC167}">
                <cx:binary>1Htpb9xIsu1fafjzpTr3ZA6mB3hkVWmzZVuy3W1/IWRLzZ1JJnf++neoktxS2SNfDwYXaKPRBRWX
zIzlRMSJqH9+mf7xpbi9dr9MZVG1//gy/fYi6br6H7/+2n5Jbsvr9qhMvzjb2j+7oy+2/NX++Wf6
5fbXG3c9plX8KyNU/PoluXbd7fTiX//E2+Jb+9J+ue5SW73tb918edv2Rdc+c+27l365vinTapO2
nUu/dPS3F+H/e/HLbdWl3fxurm9/e/Hk+otffj18yzcr/lJgU11/g2e5PmJSKGWoIXf/6ItfClvF
95c9Ss2RopppKqi5+/ew9sV1iefD6yL907oqvX74/nt7utvR9c2Nu21bHOfu8+mzT86wP+IX21fd
KrUYAvztxfsq7W5vfrnqrrvb9sUvaWvD/Q2hXQ/y/uru5L8+lfu//nnwBWRx8M0j1RwK7keXvtHM
xYfnpPCTmjFHXCohJCd7wfuHmlFHSkrua99/0NzeKvaaubgdrm/+A608PHegkfVof0ON/H7639OI
EEeKGyO5uteIeaoR3xxpzoyUhu99iT+svdfI72n7xVZtWj18/b93lUePHuhlPeDfUC/h6+eE8JOe
4h8Z40tJBPs+hhF5JIX2uTpQSGgL665v7HNb+TfQ9fXJA3Ws5/obquN085wMfk4dcBPuG6LZQ8T4
BrjgR/AR7RP5sOreQU5vrpP/QBn3jx1oYj3S31ATu5cPMvkeOvycJph/JAFHVN2HbnMIWOxI+JoL
5n8fsHZwj/Q/iSFfHzzQyXq4v6FOfv8vJlxCHwlKudS+3od1/TSIUEaOJOK+TwT9Xlj//bpNkG52
9j+JIo+ePdDMesS/oWYuPv73vEWwI8MNE5zfhxFEi8epsJZHClekomKvOfWw9kPCNf7y0br84dvv
+e/3o8nF7cOTB1pZj/c31MrpfxHDBDmiiCQI3vdSP8Qwc0SFr7j05V4ruP44DT4tirSyafvw7f9e
K389eaCV9Xh/Q628vnxOBj8XWQSHr/gKcldfpf7YV/Yo5lOCvOth1b2XvHa38X+CXQ/PHehiPdTf
UBfvLh6k8j17/DldcHnkC2YMua8DCXuKW7464oKztYr/mh4/9pB3t1WFuvz29rktfR+4Hj16oJf1
gH9Dvbx/95wQflIvKOAZ11oxuZf7gV4opUdK+4wxdRBJ3nfXyXP7+L4y9k8d6GE90N9AD89vcW+t
e095cufPkl3mSBKkXoLrvUYOIrwxR2SNNNzcxxrxoIU9dh1QUP9+W/9GQU8ZrCcn+T/it/499/WV
JNxcd9fbO3bxEf31/NW744LtPHj0OZJyL7vTm99eMA6VPFLk+pInEfyBkPrmkdvrtvvtBShKcUS4
EBwICB5TEHjTeLu/xMiLXyrruuS3F0jvCNF3/igkpZoiUWhtv14Cgq55HWg0ACnzUTB9JXDf2GJG
vPp6/vu/f6n68o1Nq6797QVlMKN6f996IEkAtavbM8O5UUxLbKj+cn2JtH29/X+STkxD5Wr+Sket
/jCPQp7OnHoukEtBNnNSNs1mqu0Z6raGBpY2w5YscbsdlV8c96xtXsqI9OwPmSz5hdWFS86baeAi
ZHUzyU3vxPyBD2L4o8tLt+nieQmSemZTaAZ/iIO6y7rNpJJqOO7HmV72vLUfqyEaXi/ORFPoe9XY
B/ni9BI0kRt3aSnyE+2yMuxdPvSBrufuWBlsMaiTbMrDOLYi23gzn96IedZql0z+GJ8YQZd+M+UZ
+Zz1RTsHxZznN432mtdpLIcyGMdyeh1Fto2DJo5w9rIu5zzIpjTXp3Z2YtkttJ/q43ZmuMpbWbOz
3o/nN00im/k09iqZbcpynrwzHxu05yJavDKwTVnyt8yv7VsjsvhyyfLhdVOMQZ3potuMSenHYdTa
4TgbnT4pTVE1YSbsEp+kUze9cX6fVxtPuKmrX/Gcve/qutNLvRkjYrvmJKIy7Y/LiMVcH/uyyuOd
dilZyGbKSleRMK/86YLrpaxo2M2Ddypaavs8qOMmUWGG8q6q8m3qF14x/d7WhWj55ZBXeeC4onXg
yzQapou8GYSJtmWROhPUNnblrvZrPw56BHQVh9JLsuh1RGdvN0SWtmMo244zCLMfdPeyJd6QbOKG
KG1PSDvS6Jy5pIg2jWiH1XD0crJMmVx23pSNeZCXaiyGs67r+5pc0LnMOu4C17bDuJRBPrKxpX/E
UcLY8nFKi7lyN93YdGUZyHxZiujtYwb+ieN8sfXs0ji5b358/fNf72yJ/+4o+b++XHsnf/316qHp
8uxdx7d2xej28KYV8L6+6y/yfwWZr52AA9jat2n+DaY9e/EJ4D2B94c4cgd4AmHla5PmG7j7bpD5
+tw95il1ZDTnCjQCMvDHmIcs70hSBiw0XKKz44N9u0dATdFREBrxjfmUAXPv4Y+CP+VMgiSi6PMY
NHt+Bv74U/RbV0T2bxTlTCsUCQwbeIx+Bc1cRcdc3vo06nqzZbWovSIk9ZAuH6Ts6/xaeE62u6qZ
21lsOjbJZAo9G5HPceVE5YWWTbk+M4mc+01uvKo5GU1ZtK8KWdbeHNh8kvVnmXfZZDeeUkXGw1hr
QW/1ZOf+skgmXVz7vqyjL7zkjbqIVdrUPChp2mIropaufJ1Q0o3VJi6ky+vAjrIsX1I9N9hyXJZ0
Pmclr7I/vXaweOaRSr8TI1AEPYoQQhkCosGA5jFr640RWMRjGWlapn2iEv82Gm2VNSddKQpxUoih
BVwtbdylY7ikNXpvBYlSFu2eX54i9Xy6vkYk5OA6fEQois08XX/JuN8qotKbjOY8T8POcsmTwBjm
NdnOTWPsuo1LulgkgSe8pa7ejILPLQupWNTIzzqElzYPrG24oxdG+g2uPb9JRp9u0hfS9xkMU0nh
c0rJgSE1vCoXm1Xsvd8lvKl3XR3XbXrcebzvooADcZYPKHlmQndRMnlRF6IImpsmcHXj8msvoVAi
neT6lW3yNr8uTKbFSToWE75q5tGqi6iZcFea8BavmeNStbvc044Did3A23Aeq9rOmx8c7UD/OJqh
4F0poyDBBQiMp/Lvppzqorfzex4POaC5c40aLpdiSe2Xjvg5q4K5s83yQbPKG/Kg9Cwt3cmkyiKe
t0upaBfvDPf68T38wkEco844rc74sMBmq9Qz03AsxqLGpbZPFU7N6hE66kyZYMG0iwj+godRiKKM
BUTRdTrxulAWfbaMQWJYhr/28onTyebXzwsBgPPYBn2hwLQJzaQP0CEAi6cyoOMi1Kwa791Qaqub
nV1SXVywxJ+GPASuJHH1I4taX/lXYibWJQWXhBFAIFHi0O1IZiOh6km/a3sKC+nmroNBNUsH+Yis
FlZuo9GzUxuogs8QeDFEVX5dCkEgpdFNRfdGq9aPsl3UCX+47JRiw6UDNZJfT6Un8c1UteriXm1x
M1YQ5VT4FdBnacmqjjifVkV4WUrxYebMDJfElhY7kXkOm85Vt6LU89IWhn9zeK3QTGYMCTPa+vrA
57n0Wi8m0/wuSWZVREHX57wOo5FE2YVii3Dztkmcqv3AILXNksC5Jm3OSNHzSQZ1mTTeuYtLT7yK
ykTzsBntFH8haUFOxqgXapPryhY3IisWd1laVWJwYqHF+FoMlEzLxs8qI+uwEVy0/W4cpT9cuCaJ
JhuokpT0JSeOmk1VOUPDbOp6FwV28pslC5DKOjGF8ZQPcIZhceNcBJMnM5HtDKO9uFJFN4s4JBPt
x/64NmNCo62do7g77RJNIE69FOOyANRgivXplM9RHzRtnandYHTMN7L0puXdqCxLP/SiiKMNFx2j
4Qw62M6BirvWbEzKRqTDsohPNOPdprFkXM4jUxFyTEeasF3stX5CtnVuS/F+lkOce++NJdP0Dokn
7155bVd5l0REur+RTin3ftFDXCHTtpYm7VszLUV+HKWIbbvFCr+0gcktZ0mo3dI2/mdaZn51k7Da
DtMGpjI3t6bvxhFJaYEELjvpoqqR/qbPiSzUcVR6ubowVHt5fjyomrVFcpv4Fe8g5Yly34lXC7cD
THqhrq2Tt2h/d4psq0rUtT7tTZQmxctKTnkTb7Mh7sbh5SijOE13kSjHXl5GFePNqcpEEvs72Iri
SISHhRgXFq2fjiaIPaGabpNEbsnm0zFuvSQ9HtNyUjbMzSgAsEOd9vIP6/VKtqcwjtGLwpGXLaJL
XyN9NUE3c39SrwumNT66/Zdemha4RgwXWG6xrWg+L31j2HCWKVfH7IROnqd1OGcy7/XxVGW0LAIp
Bm8eAyK9FMeJuURQuZ6iGZ3/MJOJkfHreazHWr/JIi8bi53Oucfq07yfjT+8VhmXqQkaY2IAl3ad
TPIPOo4ibzkXomghKW9uANmvgNooZc49HjldvKRpk9LiTZaNmR9txwxAEG9tSjn2Dshat4RioiBs
S+JkTpsNqfPM+ZuqI56s/mAxq7BemRXGvO9jv2lCp7SGZJnfp4ggIVXJ+hLsn7siaBozEbYRSYvT
h3VCK652WTKuEuNFl+PDtknnXVWlXiFfDF3s69CMnYUBLBWYq+POuBL31fujJp1cIL4mQwGsEUva
CKsVCR3wDpqu6qG1SJj8nRbTKudKmAyZhNd7DqrwqtxPxG3T+EY1O5emPl4y+nTWTZj6iew9aFD0
Tf+hy6o+rSAvL1nscdIvgk6v/EyvW06h6Xq5UrAsrMBxqfkcedNqYMp5q+bl7OG7wpSraIaB4laE
WL8ZsYcBAxo44/15nOO8+Yx0K8F3EgWvusqliAwPxWhmvL7WCYUs7q0nWlqDV+rMWw8XdfOdMHpY
jQtZq3Mox8hFrn+hls1fcZI67+pe1N7+9gch7+9T2czyV5rVJTZAKy8ZPuepqlN3nFZ8xqEbtmBe
LYgZj1NyxYmKrQnkXlF2GTqYWtvNvYtPK2rmSAY0T4ZZvTZlbyGlgZUFbmE1BsBciJohGkyQkzmG
uuNSMnxZ6Jg0n81egraGBwHX9mdKWNrPTVjbSo30ZO79BI+RvWr35qGivIB8lEjxxFbqYj38pOYE
ooipW5dJRKLw5WwbopP3i5eKvjvDSfkq3r0hLf3cY5c45PoWmroWz4HI47CutkvWre8F6i3jgj9s
wa3QW4+gNM9OFyY1OISYSIanx7S38GmTxTDKuh2h33TQrPlMVVzBfFrpl+vh3RDBXFtUMusL2bB+
iCH28VFUZHWHcpHr/qtexcn4vi/iIk53VezjvUnDacxP8nbWtDvne1tJs9Z0+vhe5CYbHLYzpTzH
SxABLBbP6jRHnB9osyjyHplb5g+buvG6Kg1JG0dYXGYJ5u02XVFH3WkxNg0nAdSU9Kfaxqs794iv
+C6fe5X5uxzJ4jSfcdMWkz3phCVlGRZGFOUQRG3sdafU0B73J13T4gNJoywuyqbH/+dy1OqTJCOV
XtCgkisuhryLUAiMLsPqNInt8EFV0eSV22heVtsfDaA82028YUAYH3xD72+LEiG23E5eFZn2VBqE
qukjUVMGvIkLa/P85L6YyLoicdmuT4rK1l9m0aIde1JnCcRxzO98prF+AYG10ZhHywee+Hbs3jd8
TEZ10u2PPpm4hYh4PS05TpTHYyu3aiEUKNc5sYqPTvVqNUSZ1cRRhkIQfpuPkADt2XreLk0ZPhwM
HPc3KQaMvCAtFqU+GcHyygQuSWdVvuI1dbhDzXT170H2LeyK+JI1wUJl4aJdXzUuYqdx1Cx4xzKN
yLWCCExz6Z00UuRmPo5oLtUnMFm5rcKuKIpZnpe5Wv2pE2OKEizO/Q5QyVU0I+a1M5Am26H6X4XX
p6APyy3r/RyVWFZUMR53c4FTfhyRnkXe2Ri1zqUXhmdrzWZ7hLtXOo+46t6KuSnnaDtFmTcnOzXW
smg3lfWoEoGmka8+iZhTHAfB0ED5iycWnEpV5Ro2Shmt5uaYozC+vSSzDqzkBU9JyoezcZFlpN/m
Sz96Vw7JdCu2S90Y9Ql4C/vyxnqBBDJB1jNEdeUB/JfSrQIsUuSryKxNacf6kzJz0tDPYipUcaFU
U8/RTjDbdt6fY0qzKdoiovFCBm3B88YL/YJq98H4Ysy7dyRushisn5x5Ml2OGrlNc2OGdGjYxzby
W0eOXd4PpQk9trT5h0X0TNigR3SYhqCj1CKn1Fqanvaw8jIzLBzwpaeHQI/gJabN/Un2umzqbIF4
MKE5r8e6g5uiGFb8M3O8ogmy/9V507Zc76juypsoY+t3khIPd8zxvN4Y8V7ijqGvuvX+IqrhyjGy
xehi6WZabzM46uqVplyv3JssckogkZEo9ZOgRR6gPq1w6sWhm2bHdUCZI/6bPtHxaIORVAKKnpfI
sNOxqVYvj71FQPotWAJ8CKRl3WmzENi3IB4UTKA37CtPwTN9ul9IOoOQ1sBUvKt9xVal2aJB6lZ1
L97me8DKi359c4MOMazBKxpv3aNTTohNGZeNjYKkUb131aeyxpm7ERzOcJayeE3jEjFhDT0U67b6
O4fzbI44EkSyX528ZivJtKnGabVJHS0sTwOZtFVZbpOsgDfu9gJhSq+gl6ORjfeCpPWy84TxQvvb
58urg4Le+Bz4AAtmADdFlToo6JNOITnNa3aVWKuwax3HE7xhtIDZBkQzNlEM+epdQ9qse39++ZUv
elTYrssrJZQk+3EvdcAnuX6y3thqdXUPjRngaZW/9OFJzy+FNsnTpQRB9wxrYTIZ/1drWf+ouTH6
eeNHSCUfbITkk7VhU0dCvNZGr9ZtVLIqtU8zaNgKJ6Cye3B8fi9PKQS0VWE/PsUMtAIZCjs/KGmj
gbO5g+tdGY0ZkU+ppGs+3rYYetsuFqnzj+T87YJotIM4UL5h6OuaA84iTxyhRUmiy2aqECjiHBH/
VM85fO/es58/IEW/6pG01xNyoYnUlPmMErD+T6U9FZmIq65Ql/eIMSaLDyOaFZ+l3E2i9YddVkeL
e9uPfEavpK9WPOcO0OC1i0Ag+sGOnlo6doRSyjcIXtpITKf7644f6X82xBv1zJvLYu9UI/I6+PjU
5xFwPfWHFCpIRD/DMw1HcEBq4SXrRrKaN/0SDg0q+50suZUkmAAtcwiob3A7/COiF+mMtnoTjq5b
vabew+zzhzjggTThHIcAO73Ocn1LhUxJ6rHEce9GeW7AwvGiV8MpfLECcOVA63zKJUEK9Py6T2UH
RWJZA8qLgYOCzx5SMHU/W2097t/EqC1aFQykLto/EhGxKg7GLO3T11WEH6V0QZJYVF8/0N2B62J5
uAHIRmagN/YN44aWXOqRKeE3AHc4aihHouT1PqTvsTz1qKXoiDVzf5W3hCxA7SQtIJTnBfHUj1aL
ZuiBScCPRJ9UHjpup1KSzXkVfYnMUkl3bJu6jOatF5UtUoXZd2ui+/yS3x4ev5RYMdInhqDDf2C3
iU6iIpuJuxFqRANhN1O10Hwn3djDfFMfzOAn10PqCIh3wdSSeXBmO6SW1OMPDIEekHEQgIE33/UA
MCzND70oNsgdTN15n5PUaaSJU5eseVs52QQ/fOnHTCwiTEv0RetgMmDJm0CmJOmvyholY1h51FVX
oHLRjdw00jp2WQ5p1X5+XmZr1HoUVjQGVQm4TfTLNdpDGMF76uv9GPmONMv0edo7IwGpBGGRfYY7
Ob6WWCxfMb/qRrt+pHXc/6ywKFUa1C2SdR/kILomT7fhNwwlbqvs56qQHtpDGRojSJyHmXTIg3kk
0VJqY/Sur8tMVuD6XF06Kk98L1vJ8yZBI2dtKs1rul2lSzGcCwRrW/6AY11HCA7kBSFpJBU+g4a/
yQImjmaBqRb+uY2YQuaUdej99m+QE6d1FY7N3GBzni4HXLPIysF7+fkye1djXUenrXFFFoflspD5
HHRrBbK4MkShsdFLUJiXqjTxUqIUNhOYY+ZlMxh/JGnoMod5GiH1+oGb0oMWDI5CwcUYRSh+i4RZ
8oPwA8usmqEa6k9aWrkmXvu6J4p6g3yKLnrN66J5j577nK+/q7Vq1BW4NI0dR1RAbPqxQ4tDFGeg
xAwciWICYwWSA7PIp7wto8TWn2pUaq7Z8jb3xStGEz6f8xZ1XROYaCiWD2UyYWoh6BM3NkkIwB/V
ZdwskXfiSpEtH5zXg7P30SWBmUxiKAtznPdyVY9tuYEJzYMGt1+7LF8+LIVaWzYENRy0kEL6UJCt
zNpW2Tel/HKaoDsuM2QnQbuQuPM3tWx5u1O6X3WXT2tHZdPcLW/8eCXtfHvXpbfoS2LnqYcKrQi7
WpZoLbSqQgPMDI4OV4LbpXvpXB65oChKx8rQi6NyOokF+nYfK7+KxIeBDGu1pf0Y7aChQbHNf2Ab
hxAO6WuiNRIBsfYVMDPzJA/g0VzF1NTFp4WCpY2DiRFdt8FoM1uc8r4ZARQ/h0ZMA4vQMVsb3ojd
hyuigmuTseTjR770qzGOvVjh7554U0ODCjvK+AKsHFnftfErDWCBnT6/jbVT/sTLuUZXB1M9TDLC
0Jo8OPnCh77xjCo/lKIqOx50FuXbrW2SBmiU5G1Fty7SNn0ztP5KINWJtCC3/I4NNgDliSGMoGNx
c16g9r6awNT6c4DxDXQAO98jadjIZbLnMCKSBBlaBWkdiEjR1dkTAju0Q4Ls4jTK8m71/AGZ+muM
GWJsJ+C54+j8PX/iQ1zzOQLUOqbI7n5EhXGDp7rOVZRUY9Pq9yhRCfrj0jk2n7NhWe1WIMkSJwkd
16bqhBwOH3F31zT3VL0OnvA+G1l0Bb5tNWnWpKj+T9Ka8RUiG7TF6K4phrW3u0gQJPMmGsu1XU9n
UHUfnKYN3Oj5Iz3VoQRqIIvnRALWMIfpHzYfwbw0HZu84SJp8xXDljsqrG5l1b+dPb8XmAH/OsPx
Zh8zHw+FfW89SZD4rP+UUgcS1BP4KOaT/uKe+JjipMkCYlFbW4zgpPFPNVclgV9SzAOjNMJPewSY
nKca42MEcxnS7GJPTIAmXfNxnReojKq2WSmD5w+4vvCvVAEdeoMYIVCDYR5FoKd9UACP8zKlbpGY
I6s8l8tQl6Xmn5RDyfSjIuzbpaA6H7EJ03poMxyeDWNZ5dzHKj7ZZ66DRH8MlQRryh/mqQcBEG/H
hIZBxrz+QMqodTLwCcpVpEuibKrNF5JhUOG+sGIqX8lCx8u1oTD6Q1WGpBSO6UC7An2AoFgIbcOO
V5N+n40EZfDz0r4fEXkkcFQQEIHB4M5dVo9Z/Kc7IwSgrtOkPXYLI0m7ZXJaS5kev5Ls7Z/tUiEb
DjF5h66/CcpoQR8j6GTc0fIcPBJGg+LQ5jV6ki+ZQFeMvCkjiTm/kxmslbQXEWb06DSHEUO8+tg2
TQmC3mVMVA0G1vqFdSGxRLXlxncSTeCXfKKWqzdmnwzkCjQ5fx1VJW2mV3mcDAajPP2gUopuXYYR
khNQ4DotN4WX1TCRe+pMe3gswajauJoouGMfaK7uCuw9CZ7fSRMTfgwRAE2LlaAaB+Yhh7bMB4Nd
sR7iBvmnen3B22KlGb0961Yjs4LeSO3TJQ3ytivpElStM1W6UbUusj54aMY1IHSS4J5iu+P2EJZH
yHdp/JVe0s2AnidY71yxbe1bLFnm4LuHMwKoS+OwmMoWgIZJkyIr3nMQsoZfqLkzoj7NFPHWNlU7
OOQC875DYMa55c0myfsSAwHoDWrMvwRZ0vk2Cr3exiMpg4Zjqom9MY2p9biNGyVk807OZljsO0zC
rOEQ7CRh6sJ2LcZb3qU15iDiDewctcgucQ2lWVhS0KF/zmiKtP6ZVNPIPlE5zZ1/gYZuVL+tjMly
ts2q1iPo0QDQpi7EkC0S8W1lZ+h2M05scXNAPPTMhhCkIZV+OIs5Gl/mpu3aJUAuO6bo8xjfIalK
E9IeC1J042dFynxONpEAFVwFpa5K90eFnqDXB/4+Xt9jZINkOlYv/RKMQrarkkKxHvzuHQOIkYyV
wZyrbk0z96ZR3PGUlS5yNBOcQTldB4MjqqRA2NhqbIPlOQvG3BvMO1Q01r+qK+MVuzKVsQySOB6v
5Jxi5HROx+g4FQM/SQlfTks3DSfosdlL7RQLJyOTC512BcE0w+DeRTDqExFL2wbwvuRz5urij5ik
djMZGqFLUvDuGG0YNDtZJc/9mnyyOdyxGmv1Uo1pvdEiSaBd4rldpiexzWzav16yoiNb1vBu68+E
F7BYVX5J6v6KUVGfO+HF5+XQdlvZYjgCVWx8MtjebBIz+m91nTQoCur0Jm2baFMkdRzMoqo2MjLN
mb+wcjdHFVLIqpYCr/bnKhRZpXcjXnnqo1Pw2U22P0bRFN00Ji+O84kWSzCbTO6SjNirWmBqJCjQ
PGwDj9v4/Tgt/nWBkV00mfry3eizdEtYR84EMUkaWM/jLwUayDvXtfhFSqajt2hrpyA7Om5uKIaQ
wLTTml4OLEvSXT1X3pa2ZXfZDgKtMEDBpp2n/oy3DkPEshz9MNImSvw/0oGZ+RTlS/+lZSKjW9vX
HQj4tEzmYMBvx279Tupy40WeOysNapmNoF32FkPVORj80p5jsJY2YeQn9ppkbf1y0oKct4quFhrJ
NQGLh/FsAtH6iuh8OMVchneW5jxhGx/od0PHkVfBsvg0QUOn9j6OdTPeNp43hSyly3XbZpahHKkx
1rgsLSw3KeoiAN3i+k29jPl0pvq4iQNC6/RippjonUH2h8PIC36GX4sW9ZmbGrdjdc/OZVFOAWYQ
Pshx/kL6KLoQFO4ztH23QdObpEE8lYPeyNnyrdBddVEnwn2c6wlsIUFuHLdBn6OAykONSe068Hou
rpHW2oCzojq2KPADRsru7USr/G2bzF0e5l0Xv2+SufnDTXXJgmbqpzCirs6CDPtDuuajGwzHm5Il
FBgQf2NYmxRhtQzZdVbWS4Dxo/IDfqzXgNUb6Fvz/9k7s+XKcXNZPxFPcAAH3HJYk2appJLqBlEj
QYADCBIgwKc/ubrbx93tvbfDtyf2jR1ht7qkJRL4/8wvs4C3nFWsC2DnIbuQbiRflyJzt2KPtAUQ
Qwz+ULaWzAQzvBLT3mZFMHVlH0n6VQcYtuoCyqEoU7HMj9mWyQMO+iyraLfnpzWa+COWfCyGG9ev
8TSqozUuOgpls686Ya8bHJzXfR724jgr4ksxD+1Pjw/kyNfcmAYCpX9ZNU1ZqckMllC2axlya88Z
leo4QyGNyjZf6CsdV/otcSr5JDSbvtnd7j8NHvDa5lN8R7CVHEPcFPXs5vUFymdQpttobwO9yC97
OI3HpI8YZB2ADvfchwR3mcOJFIqugFOZyuyUYw+o1DKKo0yNfoUwlOD7t/ElCsfkILJk+YBjPD/S
ketT5Hv6Mgx6v2kXMTcux5ELg2bo7kcSrhdtyPY4Lkx/0kVBvifS4nCIZ2/viR/w8sBtfYiS1dw4
nW/nbnPJBEexGI8sG0gN4wbkJww5et4DzW4Z4/ppjwv+WsDU+5j3Yv2EC7894WXL7/YoWCGAZN2h
pyy9BXsZJdUKIr8udj8meN71eNjbYHqUgEMeWzepucJaGR70JuYPtRrSwvbZ91tNibmByiHhWw3T
pzbZ6YAze3BNksviFIFGq6zayQMyEAmYER38CFgMAevWp2TvaOUHhxm8zg1gi+JWpgkg+iZEordf
y54qdrsFqn2E/9ffB8SPb/2qv+JrWiAIXfS2DJhghMnFvaMC2m2qou5CJxV/MQEzW9XzLbyDTmBe
u9ja+cjjHokNyqMcoYVJFwcaDiO9DLxQNQhDspcWJGZd0H3IS7Gv1JZDwsb7KcA+dOODOcdnnYXb
qm9naoEgRU5H23kk8/CQOBI85SPtVJU5zaeGU6WfRdvZoQGM6PnN0MmpqwM9ppBTGYuCY26XZX/2
xagNP15Hj7Cms0PPhcSnNm2tvEjItbqvohyTS5UOhtk7+HhiqRITtZ+2fJ98NYV9dgutj0X1FmFE
vFkhzKxvaQdfQuMc0WpNMwxO7QhN4mTXLL+ksQtH8WlPPItt6d0cUnOJcdiF54KAVTnO16hBze2S
mhcatFJgfW97imhCwNpeVgGh7qVLsHKXMSf90+SjYD9usEBEFeZzHN5uVLixijUIk7u8x3FaQ13b
6wme60XEa1chsSMva+DdIh56H2R0T/Dxj6EbajiIg7xKPCpOh4d1JaJYa5+JrI+BfiwT3ocC4F1l
Ih8PDYlMz28lBzdYDiMAhGpf3TyWyeD3F4g7Qp7GjqRT027pdic7qAc14i7ulLQIOdfIIPEc+rLQ
0Vm2WgGUM2nuy3hz/lO2xut9kFKXV4NgZClzIhOYxHCT3yIV6B+WYjRJNKI+x2liUdK0lscmrjDC
8WCqQI1Cx9rKnGfPPiBTjsHMFL7rK5ykK/6BKQw6133HITQXWcNVr8q0nSNHGznkUc4bFbspTe+i
wGbmFZjhwE5iLsjX1tov+87b15arLy1VqSixJgwv25aLhhVMH0NcHiEOiUwDzMr3mx6BnnuddOZg
uaaVmtWuyhwaryqHIR1e9NhntdaZL03REZyvdh2+ry3bD/nUAzBrHbsD+1aEVeSWba53XDbkkS48
ecmhPui6s3Ah8TzggSkhpm0/oknJJzWPS9Esed7eLtM4vZh5WdvGuNayM3iGNi+DwdHzMIm5jse5
P8iZpS+jDKOGrny6kSwN7mLpyE2sgNNN7QKskmItquOY2a+jyc1xd3Hcl2GOS7gOqZ2XRkXZdA/x
cVvPSm+spMsWumqWrahItlhV0mhgEKChpprzkuGHazzwi5edoX6DgcicjwLkV63xUm7l7qW+xy2P
y7/LZF93AvMFvgX2jFunO5icZpUZFX8TXRt9gSfsDsDJ6XEK6XDIVS4eAxHqyg4Zfw/H4bUXkJFa
LG6HPGbiY9ridSrTZJo+kpDpi4kT5kqmnSiqDhLuhakYP3Qbgr3onK2whCcPAmvJxW5R913yJP8i
WRu9yyjZbi2YwjpV83ROADO8AQuJ5fVMc6pMRDjfZYwlmFtxOF4fQvKdyOuS7sfhemu7ePk22SLo
mj7rgOgBc5iy85iO3VQtGkktUFD7BBs730RUJT3OkTILOpHe9WqJv3HOV1nGPb6HUvQ5LxDLGuYK
xiyeCe5Veh4yE+c1Vnjba8xasr0Malo/K2xtvJIqScIvuHg3XdKg2OwpWGVWr0oEp25O49cr0XqI
ditN2flAPaSpE9+MLRSuB2yeh8kwcPoTS5NbQGX6RnngzqVuMdLcusWobzJeXVctMMBt2dnefV9X
j3cFLyX2NKPgr/+w4KlsCVbMNqOwyQUafguYv3OIql0155+IPVp2GHK+3hCP/a0MMI6sdc/mIG2C
eYBhEO42fVuXvv/IlXWVhM5c92Ewh/dmy6MXcF8FBa+OGa7M1o33xw1D1QWn37g1buZcYJSjGD3B
FwfTfcK3KKgMu8p4fghT1WhlYU+ClcZDVBE+cEGkPbQ2A+QzyEpIDGm6ua6xtmJ+7mLM1MnI9vdx
MaN8iKdoW2psFUziSKPZtKtKR6bt/TEIYzGSh8wkrChlNHfJ1x6aczBWNiicYAegXNKFd5JP2UQr
bNuOqNLsfFhMlePCTX3NQVYVfWlgBRFfj9azQd74gkHSqRaDBUw99haqVVI6eETUHLRRc/fetpJM
bb3hVQHgg5RQMurSunnK1kOLWW08G26C4dcyL86mDQeZP4wNQomRfGFhDCroqIDwr2OtPQlC8SiM
kvg9kAAgvxGlMaBTbOk0fvyfQ0DzEJ/jIkZfU8Vd+p7qNOYvv2MEgbqiMGtPr6Z9HDGnbtC6cIVK
QbJeORq8h3v+oyUsdNkRpsyO922OFtp9GLXxgJdjAQEuwGbLxJbhisBxvL4ZDkGhuF0xULr7UNDQ
k8q0i5nlcQd3hd8WrjwxiW9JYUY71Gm/Gj/eJAY/3l6ilC+Olwo4djKwl2RNVZc1GVTuLrmExsx+
AiHfrZhxsDu080GpQuA8DtapluDj72LEDDC6K4oT09MOQ1RBjt2aD94r8AEWHn9XAfY3/UaadnSk
6xu1gQWn0A7GqbjdMfoVDQv6jEEvt4wqU0ZkpqTJ/Z6QI4i04U0Vpn8NwH2vZTwhFFcSg3enAQc9
/AhHiSkL1hnXspmyhfLaahDUrtzjGVjcnhn/m0V3oV1rHyEa2xMIhe52CllSyTgzdyLyfmhUMiBG
YCkQRRX0L4K6LT/PGOHyMhmVJ6UbNzke9RoiX+MKtY1w9q38ofaQSRytZGBlhnvU1Guy++elCzaH
ASHoG0yg2BCZUGl61BlZh5oNhfsW7Mx5VUbtNkfPhexkWqODcvyuQ6CV5SIsVoNxDyy2ES0i3mCc
0MvJ8FTaH23grooLJup4rHbJ2wPyY5YFh8HA63s18UzHioVkmhriw+UULVP+0dueQLDMkXidKgiK
XYoNNffL/VBkoanjMDXrO6BcAL2lVsh/VKCNZ4sBKYpBvEPcum+xeQ8lmTGH3zmgYK7cEpk3ucz6
S9AuE3wwk8KZReoDIeC5ir1Z6mJMKWCpYOVHmJ74xeSuDcoEqY/TrPpZVAaC2bcdKC2eDUafTBBO
+Dl3dUCM1j16/LJrRGgL2ghQvz8DYPUQD4VqbwMcw8sXLJcbf8rFoK9TVxJ3J0ww2UWTPO2+4YhM
/DGxRDxPW8LuEOBpf7Q6widfbLtDkIIZKCP73rlSdeH2WrjUPG665/gREK+DzZQPE07TfIDTKVP6
HEE+zGsqpu0cQbTo6g3U9uctIcg3pnIhp5EIgeCMTl9m1k6HNR7D90wvUUlzJGS47nfYe8vuS8AT
/h5Zz7irY7NYECH9CHeNdpbac5tp5CaWcUdQqWWbw7dL+yu0i224UmPu4wPYJRCAYYLAY93axOLo
DWCWduWqcgRfknaZMRSMfrlLjDK3bRzZog7TVuUHILrq0+byFXm4dcRPCU41/0I0RzB5wAD+MAfX
iXcpEHIuMVP7rswko3DW5dzxGhe6QCYAcsnjPkABKPdMqayRFtGPOgmHrtlnh69pUwQ9ADQPqraJ
+rUtfGxitrhqW1P/keO0sDduRYy+7mdbPC+pXg3+uDSdsRB0UIGGeLpLehbfFLyXOQB25odSR4ze
BAGPv/m+kxcXqOURKRJRIZ0Qf4Wlbkb4Hzn1VZcuQlf5Rjpfm82Lpex1sbLGcMS2cf7qpL8RUezT
w5pt6VvAuHL3UK5kAjFgGhB2V0P00VGwuOUARPh+AvscNvmWeiwFNIYlOrMwHZohEvyTTJ3eKtyb
mOown9c80XNx/dyyhy3ZIEMn8cTui35I3mfwv21pTf+RLMP0rtdpKlEJBu0RWZ+qoK3FI9/rjzbY
whazlQuqAJPHnTZgAxboLl/G1gRnLfBS17qT+cNq1umypjOMYp3LW+gC+SlgYfEGxbjL8Ri02TcV
70njSLg8W+3js1ymNa6ELbbrtBYOgLpHSDz5shSnJeFjVu80wOA0dNQdxzS2/TNSvF2tIW7VGo86
qeYkNQ3Gl+hm9BNHamWL3jnz7p2yNSrVYkJwV6lshqJnvxB4C2uSkvW1wLh/jAiLvk3IRr6H+JK0
DBw+OPiF7zDsizsH/PSo7Iq3rjBfEZ1bH5UJPSuLdQojvAf7I20DiYkmIsMR94EesWYsSV3kwKbx
1bfbHOvPAmJHXTgsKjOqHvbS8Wh6C4qevAiekKEiUPXPSo0RLDpkgGSSfPcG6r9upIIepL/hgpKD
reHFAoF4x0Y7DepZk2Ui6cMq+IxTfimKKzWvZ+SyQUo4L4YZXgNQuOkBVQpX2mmLYfTGdTKFgIDO
oeGD2M+IGPr1lXVuS7+nI5nkSUzFsJKKER2uQV3YlGwah5cEZw2vDeSuoFGXhTUiIdGOsbEIfVdp
menQnY13UDHLLHbpgZBxK75k43jFzGYle9fjHEt5mNaY80DQoucha1ug1gT0P4JyGOPB+3tktPHS
IGBJUuAQXE0/wznw+VLDaEWEpFnU5iWHk9q1Ehy7atk13ohncIYN0op2D+cnmxQrVpgucZnWb1Ox
MStqIIIF9j7wBp0T90JMi5nqBV0YWdSEKjHL/M3I3Ua+xL9Fdb7aJoKRrNwVx8lwYshZC4pSC3/9
SUjWhrQ/8tbZfP5sgnaP07JjhcT/h5RmnrmbYF2wMN8Iv7A+q1xIi9we/md77q+cH1xDMMAhrMMr
bgcD9hr4/zMjCamsWEPkV38Ok7oCCPZ3yjlJRw0qYsk5MQgl2NAFiOB2Ahbdv/kG/mo3X78BoKIg
7FBWC5cQptBfv4Eu9QAY2i7/IX//Bobf2eNB0h5PXDDBF/vd//2jMOYPh/v3GpQ/9yn8uV7h/+c2
h7/UKv2lzQEcCOC+/8cC/EufwyPqtRbfQxz4Z0f2b3UOv3/hH4UOOTpRKWoZcqgjFLH3AiTWHyU2
BQohYQ5FV+I4wy/0Gub/Z6cN/qdrcU2cgM9LUgBpcG5/67RBGXGUAkUDCICMP7LP/0mpA4JSeGL+
ZDejJxQNO0kONYwAC4T1/tcnChfTsg8q9Kc0HyVuzOuog41hS+5jJHhpg7Q4hN1h6FBisq3ZTMt4
0fpMiikKD/sMMbfiWEppBUWmT+FRpVlQLrI1tabfcZazhy3LgL35CPdAB5keSAaaepB8X5YGYzip
dyhyUBgTQPxNvnuFiZ+zKIYpzfdjEMXTm168vngx8/uoILiKg31/ZXGQdCWBPNBoGirRcDgCLzii
3HgKZzoXiAqF+Vc0ImRjJWEZiHJC6x1ibopK4NSO1YaPpy7fu5+oImq/b0iw3eHEzt/hrghT04CS
Wz70TJRRvoRoz7lmsbB2tHEDKD99BN7V39iEiodu4uud3ZbgGDGxYwhncN6m1boGJyG8i7wVFhUv
sq2cQ0NPoDMMJcNAXQl1OixtnyavhcbHHAUgOUoT8/AyZq1pcK6RE8hVBP1gDZekIxFiOXR4RKw1
w/yyD0/h3k/YUQv9wBkkHSwocrykeawqUeyskhvPDzGNQxi9xXA35lGL1GOebYiBS7WLakzDz6g9
Wm/NRN4XcAQv0bKMxbHQDFo+WMQWyh7ySUdsdMmb62V8ECYpjoNqBWaenbE73GJd7ZNQVgOU2bs0
tctznk2FaLKMpZcE8wzmgGxsyBA95/bxWtuDi4DMR9KGj8SYqyw0xcl9FCzmA2N6+6qHxD3Y5YoC
DFmD6DXqCwYZQAJdhyPoi/6CSYndUiXGpzRcyZ0k8eduu4bVp1BC5jUeNSQte/EmnZssSIfTFgLm
mKK1klKIZwZZ88EES14zRzZM3tNRojyjGci2VdyEU832aehKaidopXA4DiYb5C+6bd8xiQaHCT41
xre1j57xkMNKcG4+L0Dmyr2nSRMV6VZLcMJ1NqZPE542yO/0BgsoWOBizuqAL+877GmkyvLgwOMs
KlNQUSeMy8hUGGhFkYEP0VsevIPOac+q5/Nz2it151FCccmLZa4hLvpGRxDzeozx94md8dzgsUUz
QQYtWcHiLc2I6e0Km8kKakTaIHbhnj1m8dK2HZSSY0YG30avBetdd1hotCVQjyN0OMAV2XjLi+ct
Q3BLVR6WPyzqWKZw09EykpIynSWP3mBat6IJU9HdYCrJn9aCM/7ZkX1YEcMSfXIY6RTA3ss6jz/f
Is1W+PgzTdSE9IyAJ1hpmP4aIvwUpO+Oop7lvE0xV7jadywdToQ7wR4+Bdq+2K4j2wvGDQN/s20D
kdzLJLTiA3KV3scaut6IAiyeXhEMBUegtguSlDUes7b9QFNM21eCRx1+P8E04PHcJo84JybtlpdR
5/DjQ3TJ27oXY1E0gI9W2Z4AUZAPM43b+j2XNJLZBz4jamzZX2dwyEVJ6sqRyTXBf8EuPcNJB9Nc
8hCdJp9GaZCGCGe0OVbxqmOGFytyzW/Xz//e1P9lleY/W+MQfLhWyPz3N/U/C1//5Yv+uKULlDej
OCPBww9aAxcv/n1/3NI0QrcgOuSSgiIbhF4mXOD/vKVTsOsolwO+ci12xrj4j1saPU4IExRgWrMY
CF0W/ye3NCbrv9/SaHBK6DWkAwUDCZ3rYPqncE6XdajfiBZ+cXOUd+WmphTmuM9uFFrZFphvEamv
as2LkvPclyvQBlaFtkhd3S4onDlpOBWsKqY+u+x7TljT22lHRjUM3RN0voEcI5H74Eki1/95RqQw
hXuYwOjwGKaB28SLve03HF1lD1InLs2AV7JkMIaQyEZPGThXvZ/3aF9JOQrMDTuIRN1YpDt5hVeM
XZaFKQv9I5i/UeHz7wXklnrF2ttghQBjAdtqRS0PMKi0hkBG4lsar7xecAHcbciulYM1z0sfB4d8
iRJAL70NYVFkUfeihPBPjofrPdoIhudBBG5sUBkVcFyCV78dl1yLrVyo5z5V9njV35oItuep3TJ6
iZXubiJeHF0X66DkUzcd0jHFq7pwXMfrFsuodimbD2TN4889BWvUge59iWKXNZSTL631sBEmj5aT
PUkeTSz02U6YbXgUP/IMq3M6Zsi1+y4rHaTGxyQPkLMdt2eEtOHJ9j0y18rl/HvGYnUk+ZRUGvPY
TTQMMIoyN2N7R+wIqHvX3i1Agu43PoIcWs1ubsOtmeMJaJ/Swy+BwPvBSuIPS9oVVavz5Rmz5vcU
dX11xCJWZQEHerfgP3i6f6YkAEaVD2Ol+hRWEMITOcSPF6GX5Dlx1N0kQNIeuwVrnpJgoOKEf02n
bKv31t30V6Ue3ILADspIiZaZ4MlObnjptRyqUfbLfZxIXq34RCpG5RPoMXihTpqqQ7nzq3Q7KwnO
53uPOG2tXBo3UYrvNADyXoeWtZ/2IkczYA9GzVRinCj+tUJobJAqukk4bjwfmh89/vmHFvUuT7kd
e157x+hzju3sqYjhwyD2LBhK/Pb9ngTJiqCJDY4S0f3jHpjxGeRMDBPTrLexJOTGwyFWOiGHCI/9
3eSS/cNqCItNsK78QnB51IrIfi4TaIz1LOV2NIK1h2A2NxmGRNDc2Z21oHGhkY0wPTEKVYVwwSkZ
ERZFU4GytYNGUxqGJqZsX98CwGocNn7R+fDAQBZYDIfLPL77zYhHiEoPwdq/RV6jqqYnz9Ec9s1Y
qO+LyvPzIKY3hKPHsocyOoBUPcguXn01dCCK0BVVjdfflP8B5x59aNGqyt2En4mhmN88ZSe12eBu
KyhtmFHtdVj4wGG4PMRqcIdggSbZyzY9eyjjbyQLtsoJyAMD0yGm9hivVXDJGU9LFJp92JzNjckH
fUQSLT6L5YKMzO06QNOZV1BmI1AVtmBwzyjmYDLUA5oXm21T3UGCjYSSJpbngiX9kyrS9mwR+i39
LpMz4pvuaXD9fhxXGddKKX3cpcvuiLYXxKK3M/waJkEvLNvTRuCSoF7xFADdv99IxEe8YCiR2cKX
UQSkp/Uc6Vg8gmtMhlukee8HXXybZhRFZdlOP4kEZgaJUezIi449oqGme0AO+Su6c8gZghsqArro
a6ZsCsoNws2XReNHDgeuajCC8U3bj8MhBHhQqxDzhkUNXNMDDXv0OHZL7nDe4e9oQL42H/2X3cBG
sQznszV4Bjvv/BfqXQdZtgvnl1m7lzHMAN/DuH+YBk5oaWlv1GObsuicwClajgrrHcal1IbQ48V0
hmeF+RRFp309gYV8XkX+C+PWVrWxiw4bL3pTpgV6a8ogW4tSwUQHjko6LEbgh00KZBa+UACblO+H
Il5BFfLZ4RUfFVrWzBtHSCYiJ2/H3xxHbnC3BPN3GQh0KnEiDEYqvsXZg9SAaEuBwqeTNIXYbx3R
2ZOD7vmSaIZXRG549M56ten7goaQC98Hv5TrnqTfVjz9XRWhQoRjNWI5KTfgvM9zHwAZZFGoL1Mc
FpfZwwVZqRiBJs3rGYZl+4D6iv4FOTGI5YjM5kcuGR5cum/8QxVkaSxMjRNmQY46QQQLMZRrKPit
Xwlag3TUgdFQeVbum2Fnqwq8H4m18BPdHjwpHO2/4EHB00cX3Ha3gsB59ODUwzrPvNOojxgBXonU
YBgkbjef4TvNX2cddh+4k9ux3AZztyT78MBsSn8humlgEvQseUaszX4OZL/fD2F+zqOs/4lG1OxH
ioqtruw4bCxsoLZvWkq6cwodb8BpWy0FBO3aQ+gewCLiUyyF4MWbsT697bOl/wFyQLDLYOD8lWih
2Z7YTLI33CO0AevSHoz3MUCGPFdYVCT6Qc6w6d132XWU4DBq2RuVo310YBDxVHoePHYiW1QZJ4P+
EJ7J+6RXLdRt1KflVUyH/UzhR/4g6yyf4Zu99Eu/IVS1j+wsIwk6R3K8rDDt54d9TmZWLduCtEy8
dGxoPOJhd1h4tg9wkNtP0Jvzl4IQexgDAXwoaGlLSzf74KIjYR9HIKC6BD0afCehXx68HrE/JUEB
6yz3Sp9yFDx8oa0bgTLvzJxVtCZbLToxexg0g/g8g1UhCGol67MgV3MocMl8n62qP+Od6wTKe0Pl
wUG7+drDQ0Gm6fCD0ZWRZuyQlK/RlJQeTU+6Z/iZ4REGVA7qz4zw4AsijjieRYG1yg4VamnzWyxg
8yVCuwA0Y4LqYAvPrEewt7xSThWMPtLMIRyRTMTAgPlISRkt6ikyy1ovaUpv+8CaoczZhEbgXKjz
khOI4fgL8PSH1GLNy641S1QhlDa9S4RNx2Yl1APQRC7nZ4YB6o6Fm6qxkHwjLaevOR+Hr8BipkPC
r/4Cjng2QA+WU1BtVOJEBEgenjtEx+7oTvIvNtX9SaGeuK3iNt3Ra5j45Fu+odN4BcL0BuwGrlSB
PZ6Us7ZLOU4xyi/QybHAejMA+0TCPUxQNlvw2zz6CgcshsuVgkQibH1K6QpDUyB+9mF2DJBNG24G
z1K4gCeHjvGDzvEMSmnIWpQIT4K9d3QdXz1K/5ZDMnJ3Yxbjj1bANap3DdILwRXsZa18DHfTvc9j
ft96W098sBVglWYrDOxPkPxPZKVgLHLw9S26proaid74IesxGxYoIjjOGQaLMtWWfKP5jjQ3mVT7
NhIYq1fUhQRlFCSRr6KlC4+0b9v7ZY33Zot3do7h3hwR31/rXSX9wYShuY0C3mRGDz+5iKEfo3Ep
/5mJTqNTYhn5tQtOv7Zpzr5lZGIHO4XoYcNvc18q2BXmjsdOnluMWUvJWAoQq9OtIKgjJOKHAsg0
lvr6HyrgPY6WZLub2Mw/98z1nzp46MewSxGYjJi51QoIJB7wrLiRGoUqbYgZcdhaYOWQ6w6jns2p
6CgcxjFu5TvqGCJdcrZZDiMrhcemVJw1M9v3GxlE6rJlJLrFT9gjitJ139nerUDy1/U0qBmgCfb8
89yjoi+W+2flIY1VURzpr20y54/AVIKfEXq2fg8d/++W/G+2ZHTRFtga//st+e6r9v3X8cdfRPDf
v+gfWjbq1KE1IeYWkhBR+z8VsucUCzRSaagpCbEiX6OVfyzJCfTqGAGdAv1RKYpBQ4jq/1iS8/9T
oLED2niaI0GHGoP/aEn+24qMv+fyKphfWwBQZ5v93ZtBflHogcv9lLdRupfMkvG2da1/Ha4CWQtb
+t/kRf8eV8MfmP/2l50hE56ggvRvXgywHlTs7Zk/OSc0Eg/WVhlCH8c//RL+i4DhX6PnKT5VND5D
moD9hrclvhbf/3nzX9MlRACWOyhQM7oVYzc/yQmKWYcBpUFlR4+LQW81mUXwvKAd6fV//uOhf/zL
5xpl4bXVAmk5fDd/rxQ2xhed9fl6gnbQA0lEU8kBqnt4Qjy1uMXJrS9OOL0AR86RyFEsYQtYki4A
IRcm6csEtb8FTVf4u2XjSFy0EdTxAtGIAyry8M+Ca0a1WdIHO7Aq8LdjmbLFo/Gr8P7XvHr5nIhC
ghQt9hP6RsCi5dl8GbJ0fmfdjAouO0BcVG2EhQqIO/A25F13mAAu+gQ0RN3rTUafYjjNj2tiGE6l
RX0t4GiAI5us/8UX/ETYGu1bb0Z/XIAc3wKsRtsA64oIrmQ83nL0x39BbZj6gH6OL9xcR2//L3tn
kh03kmXRrdQGkAd9M3V4T6eTdHYiJziUKKEHDK0ZsPq6oDKzFIzI0Kka10ADRYh0OGAw+81793eN
Ilulxn0JRq+ESNgJvT5wq7ANxgvgBt8JzZediUoVB5HXmfQ3UvNhqifU6hAhbpxmrk41aCSamDHi
U+Gl7V2NrI1IypPkqb3no29JZlCeKt1HeinXVkSQnCP3uevKPjrOg6d2bmMUB/IrLsfqx6dML8en
Jpvde56OucGIi7/LdIpwoJLwbaol74NnsIZkNT0mfVS/DDpUarrGlb53ZcA7JNvoaPVVcHINLd03
2EN+yEFMj3rLj0Db6J4p8PunSMX2oYl74wF6XfecAd4+gQ0KTmVJVxvFTGNnK8xnZPDuMANsKgqx
6URUhNgk6KM0JuGhmwTUiWP4+mbdfrMj/hrnICzCODORS6J7Inqwh+YbQr/p0Ye3uHPToThgHBLn
yRNyrYaMpL9D6ldt8C4WB0F/nhzCyXFgaYouUpRfYgkWxCWWPFNNcmDpxeN3iIkL4qLPt2Wh62wa
Rv2aqmZ8ioJ6vkYJxa8iTNlBMfFXhuIbB5gJzhG8WuoojXOD9WUMbSKXjWtnsEyDpAzHPGcpjkk1
fjfyFJ1+ato3MTbSDZBGlGxIy9alRtFtXUCO+SHzWLx5ReCESkZZtu6VxtjgOokQButR8w3iyHxd
yWR6NGWZ7pDQ5euibfKtllf9O55L4yG1KWcncTFvSZOKsIt5jkxu4FYvS7So1Pgd8Um+nQkFka/M
PAnbraedbbD+GQ0hXorYi45Fl79IejBHsAvlTez/wBOuI3HVkBwD7ivNQ9I5r7qJVchEQ/UUm6zN
lanl6c7Ua38NIvUVAO74nSRAnEXmsCiVSXiX8KBc1GBb0g5xI0rLvgl66dwMU2Q8VGknXgbHrV+1
3ma1ejlOMjOqX63Sma4yuIb3yp98WoSZjx6gkvUbNNOuClMIbaugpZ338eX8hJegqzvtgsauIi6G
X0ZZY+qeRafll6nuDZ+mB/fH6I3oCIKpDF2pp/u+Nj2YuThjdw5m528C8iWPqcwH8LKJ33wx0jw4
ZfqEx5qmcXPuXTP2zWf/ZyNg/OgKpJhvXlKjKmkWjNZcAebuZ63aYECWwzWqejphMrYG+2Ll07Rq
bDU9Gv4EYcKlD7miK9OuG/w0W9Yh/KQeVDMaZNWzNQ3VeagDk5gvC462lt/2eqfd4di4aM6AtVOU
Wz/xnLu5ddg7PWWdWye+j5zoXKKEW+seL1FszsmhNPPHzrGNzVBEw2awp6+pX6LlGYf3PDHLg1bF
KGHs5AC2MV5VxiBOdTnKDWUFFXYwl9+RnTWbOO1QcDXRtpCtcYTVGKypTHkARx0iZhGnZyA307UW
iHFCdBgd4VketVw067Ro0OOIIGoOtqkv7UWFnkinQouvBYhCWRQ/YjFTkEBS4e3IT6cwsKvLVHnp
xkRte5UlsbjGZyG3bsIL22SlcZVOkdoMtGMPM9jOEMmbftDBq+/hj0+h6Gnr1RJFhrBIj8fKyHaJ
7okQb7F+JeH97ofYuEcMG2xd2+tORgWLcGNy7ymvSemGThOgmy1nniHO5X7cmyL1ECoiyKqj9jR0
JiU2Ux8OsQwMpO2Bi4sRaNZ6irpvVg23OnZizjwOcB/bBMccIXuPDddtLgvHYGX0eYfuekjUKqGC
sgp89eo7I34ZK1dXFS4HrKZ5/oIUrvZwBrnTDsEgowQ8V/hrIP1ApEfbIkK0mjuiM39rD3QRDoL9
leSSTYTqW45uciV4r67tohNXco7mDeUT82Aq0a2tJOGt6jbIpxtSNVbg1BvOUbitepyllYVtRprk
d9VeFmtr1Oqj0brzG34u52BO5fyA9KmOSXmCvZodnBhDNN3io6T7Rqv1mJfCDl2zKFnuOU0zbEkb
EKH2ndfZTBuIJmOA3CrLFR7ubaNhd9ICTKkSCCOiOCv74rkx2aQ+ya0dTeNqQFK9bZICzmNc3hWG
xlmOkvOQIkGyVvY4rmOqBE+FHxu7gq75xrXq5OCPoCYDGdnXNR5FnOJSu5QIe89gW6cjdKoRoZFD
QX/TuKRjqJ/PSTR7p0D1NO7oDKP9w3furEs7ya8F7d6DSPBlhmnitlfFHFkvmAPRDXsOBpqVKYvu
Kpni3A8zI9O/i3Kp5tte5aq1nunjYQZ7GYpSa3d405wXWQxpup7zNMNOG3ffSgtD+bXR2eMcr4zK
iJ2XYNShssMiSVe4C7uMQkWVb73EGb/WmYFVCLAscYFo7pSi9OcC+ak3/limV5oqCjTLk5d5LL8y
OQB5ak9Bg6gNrmSHsoEqaLqnRhJ1YZbWzs2E330/J5X4alIA65D4TvnybKgwLiFSllmcQ4Ux7zOn
q2jWRA6bs+jfKZhKEcbSrPOtnnccOIJd+EdVFMByJi26iNxb3oGcMMGLdBGtY2cgIErSMmwS4dzM
aapdtFoIvm5qJdsBobS/jnUfaClBXrK2XSW+okWexSbB6HQ2Zk5nsLnN8WfwhVXBeEBb0r0Dzsz8
tUnplji5jKDjQwwyN4Sh7j3gc8KyJWBEoDra+TrD2ncAElOdCuSOezSTcg2/lM24zeIMMaiJ4Zq+
Moc7XFPtUsXB8JSaVBshLudrOkbiHM8fVxE0XywNS8sqapplU6am+aPPiEnSwCM8CZrGuGUbrN4t
4dbjWosxJXWEiUc3ZiNalS2XM3Vi2iX4f5+SVOfZGY3mV6FettOOcRbTFT1vvv8wyjUmomlXE2y9
iC6mGjgt4S+GDNS2qjiYuJZWi03tAX7R9MOfRLqj7VJjTIF1TiO8m1YTg6nMFTCh4pAjNbn7+yTC
WFKhX0VGMERcjw6mBW4MnmPwibYx1BYKyqzp9zZgi4SOx+DceNjiNjGOwyN4ATDGAd+mj3V168U1
+JjOsfZzX7/GEVh9DbnysbPG6QprffNlGGBSjqmpHiVR7m8kdgYJ6Z8uFm2VabmMHmUM5qeLhTaX
e8Aqur2WYmmiBOPeT4LFDYY4udEGnjTbPw+V7pDxkPcd+mrOhmNeqfotE8SqHuyp67+/gx9p3h/v
IFhsc4ES+STLf0o2Y4qpJm6Gbk85uLFC+CHRuvOH5jRLbdy1eD/XbIfzZrIsNvsIOeuXDDvMDjoe
r4Y95pcMwc3RKtx5P0RO/S7Swrvz3VhgkGvmxdO7GLJ6R1v//ZV/Iq0sCSxzqj+ePv1wOuyo3H5N
YFszyGtkGv0+1szmGEGwXlIhrwqbrGnvcP+T2mFnWY+8lK8IvaDiy4oXbeid3yazf3ExwER9ihfL
GCXX+zx6BhK9JYpJtnvVcKZNXopwrCmDaVtPit0preQ6wAj3YzSncY/Jk6aeYb75mXiWVWxtUtyz
G82hNYnXuL7GdWK/jCiJr9PZyq90vbReTTtP1DUTbarxqk0S/wDgKV/rdjpvU8ULjbEr28dB6tzo
RoIHC3PCRRVlcCKAnLeVgnFmJ0Tz1Npwuy47jGkP2mWMW/dec7zpR+nHurMyK5s6IwPgSGlsl7hX
QucaBjawJKqJ2UmWyUuoAcKtRlJADTAu2Yk/YnVVzc1dVTTLnhIsYXtOQB+UTrey9dTFqJCLjaki
ga7G8E/Z0BCDLiIdXKnjUzxr6GQCxyxeW2vI3SNWPm88NZGMuUkpTStNdb3aOHGe6OEgrKig72mh
GcP1ZPZaZ6/5QpX5xMgWgxanJfKD585FfMgJaVBdLf9hQWVHa522hhtGKSy7EUOrb14Fut29ewWG
fE5jYvpWTzLIKFHCN44RGW0Um3CyKhShvKcM+pPoskPSaX1P9s0WS+vnWc9INU3U32HnaHUbloGY
r3FblyFDDMTXKRtyZhj06W6g8bPWc8nbMfckFKjjh6c+LV49usHhrAzx4svCQhw/pVjsl3sX5NJP
UVhw8zl0tEtLu/xgcHDc5daY7qI8YeH7Tl8cesev36Dc1G/2hLuwNwsTXzLTeLZW77e3ZKL+aaLN
uxokSb9bVN0z3O7uWSnDOqAor1/7JberkqAIk7IfMSHMBca0qZADXbu4PLRdRtZSeRYzTlLvrrTa
4Uk3BnNjVmb95mDE3Ok2GZYwyJ7XbTVzAvRMo3umVy/JRQpx7r3UYzex2dmYPuKvkXmTGUU2Ooiw
dmbeEYSRlbGCJuGve31uvtWV4q6Uc7HqyA5hW9rzvko4ExsB/YyQiCNHBcsRusjht87kLVJIs/mC
5Mo/GZIyC7NKglNsiPaYTl51cmNuXMsBuqtoqIa1X41Pvk0e3csp3flLBQiltziXOfUhwElUCBjO
8wMBXjyD/5zFS+6Wt6PyBLr+nnQbN8yNUWHDLmXihobNL620JXBerlrZAUUsP61ZGHWxPANLFgdj
eVXVctbodPvherBVOY0atqotMYxnsIE2w5hSGVmS11TpJPCJsps7vWp5MjWa9PePs1hUcRUttZ7p
Kod9iFWnldR1LAShFFb5doU3Xc2xO12jhPdPH8uQhi2BRFw1+l4N2nRtx1Q8rG5q7j4qPpXF8gGr
VGCGp3LSlGTBBUM7mDpGQAXM1z8NEXKej/KAFmvcBrshs6XgyK1fCnlz6k/bXFAQkknyo4XfcM2E
BGINxdwsTKuKWpiPDQzNhcovEDUUfrAkD8hTCMmG2lO3zTBSnKuAwKzgGRUHNfONdJTRFHFmXsE6
kJTgIvjRlHZ0eJODVm+QGlHOoHAnN0wEY39RpXNj5q5zT8Cj44dzx+65z1oqgrOdN18wB1Ioc3rZ
fENQa246vZ8eIaZSt2FmwQH4z5I32mxrZPTR8aNSo/nEFj7HTQuvJOU3lSbFnmZmi7MMPv6jfvNx
YKuc2m1VJ/ZB07XvIHKXcNnTeHxFSbDUdHq+/bk0U0qXwqY0VNVGdAEcXZ1EjT2akQD+ye+75ktt
UEMzupia2rDEytANk5vRJtOip9KzuWtm914XQf2qYg48WKzBSXrss7VEk4Mup2m/gf/ggeT5YGw6
0qdN5xKe9xnv9LKem3bZhjtGcF7RWqUiGaQeMW/e8uMc6Ew+swj4kqXqTYy0nAIkaK+Gz5Kw56F7
H5qofmOWUnwDNoOyEVNsQje3SQDYiVBq8nVozBWHj/DWD6iQxoy5vJRypIqE02Tteob58HE2GD0l
YIZ7JjceWz51J4qodEPtGy/WsBsGMvAhXRASNVNuPsh2GhH12tTPaiJhm3Q4TNzMeBCgTlbpwIME
E1kcpkKvTrM1VCc4E8WhXJ4BHUXx0qE0E9t2rgnOJTJxE4IPs1gJk0VOfU6vC/NBKys2W/axL3Xn
i5eEsVhH6hdu+FESRK9rH3xTRMe4gtSRKUKQjt1EYDbp8i09SlZIrQiUsHIgfmb/6S2LKmjNvK9w
0sf6FRkaBWqAj09WGpEq9ATOAFHl2qS4vOGwZ/F8bLMKgceOytF01dZ2/ExWjwsR4MSST3SKKlRr
MbaUos0jSp55zxwUShZjN3Iz8fnskpH3CPQip5Y7CnI8i7WmwSlXDLR6NYGRpZBDnOYogT68ectW
aQGz37RM/7uZfRNiHc1Kql5at7GYGkTaRcmEd7KlOl313nTt4VB4oOE2fPeYB7LrufRVRbBpQUAl
CRFFLb52ZUvI0XRzcWDWF0mMSJMb06tex9Hhri202AOcGF6VMecewM8iGxpl84WohE7koCZkz4Ve
B8Qtg5OepaazycJsHZ/gXRDNTiODogYe+AQ29xqHbnT5+OvHizmVGUeMZgztNwdT9EVwqBwq8By3
islKW2zr6a6WNS90SoQbY3lCr8ggqxsUHDMCayedr4U7k5FJb9qqLv8x2HMNJ6Mjgf0oFHudeLVN
MlO612U4YRZneIs5DzsKCXxjeQAhJ/cDCuC5jWkmL50YhA1iA+ODD8th6Byx3tf/b735KcD9TasS
/QJdsP/cqQzfmI8JIeCPvpufP/XPVqXB7GiDphz6XNN0HBK5fwt6DdP+h00JdZkT+IGc/YOgVzfA
JyLlZWiqaSwy4H/1Ks1/0L30bQ+tsU/XjzbZvybJ3v7M0/52lPSnptqCKaWVjdXNs3Q0Qvbi8/pF
z4u6CRzSMKhzJS1Q5BIT6qq2mIMV5p4c71zNmY6ZGpk1rOt5/9LX9viY2x3yky6omudf7t4/r+5X
hqmxqId/SS5/QlODhblp0/DFa/DHq7GrSeQBlYSz2VTGOc5R6awGr4alocaesVSjtIcXbxSEIW3p
9w2pW4sLk6lZno1x1aveg77Xb/gdCZ5yakKPs6P5xm5yneg7MjxD/SZHNz/1Xj+u2MVTFZiMJ9H9
z11Rm7CUZzv1Z0sBt1y7DNd7ZOayb23Z09BGjyiis3XqkfzOaLLS1ZTr1q7EAmtAY6n794SSlxGm
mnDY+tMaEEG5JBFe6+QIkussuc0HoE6wBbo1PLLgCb3sFYP4HLVJ8bJco84Yy9+0ev/8GHD36R4P
wmVtYA7542NAfg07gMEBZwDhwVMdk0uv7HyxQYhqULdStcG9iIziy98//mWt/fr0Pew9kHItgjGa
+qa1XNYva9HR6eFRN6rOlT8bZ+RNwxl2Zgg5P3n6+0/6VAYCXkvtRzdxUPou0xkWKf2vnySQyOAY
S+ozpET7jTmTbbGLaPOaq1wkG72hhxha+uTXYWY5svzdovkkol/YudSzHZO6sssY488fD+M2TeIF
luY1uQNSfnDeclSYxY7yXLfBe1+vJp1Hv5NFI+Hg5bX3nWo+YwuDyT4pF/wGUvYMsFYG3PLRaoVp
rRO61N+FNoq1rkH8Ch0qy+3esahx/TwOcFrG3+u/ek3//KB8b9k2IPGi5vTsRSrwy4PSse9UjhNp
18YQlW8pnnXKwlreV/bKmqB2H2mv519jPwBzODdMhMJPmy7tEO9H781zTTMrJu6vs/F7ipr8fXRE
4h3//hHT4/+8nCzmH1AlhWTCEA7HW8prv1yl2/qp3ia9dZ3ZDI8JyAuJHnfLkMxg2yNwpdrc6Hdj
OTnDCtKPF7ZGtevMVuwKW0BQL5ryghS9VGjhZPwss5KeeoenWTiNeARR5xOZVhF5R5YhiewtDEJR
1lVnKbQOhgF29zg20DEB26ARb45JuQdlVlzMLL6NQdMpPDseTbyoeejpKVlrd6QyYqSTyd5gD/O8
0qWfnYrE8V8iHXBS4vrGCbX7GIRSTzCQ83alB81vyWLl5M9rQ1I2mzP1TXRNfz8wYwloQ9l726hr
hgNTQMyHJjEk4z89DWnpjBj1a8BUVFqrVaO9DiUISyE63PmwDA9GExTv6SiwXQAoye/TIFLeasS2
fWyjdggn7gNGejO4AdWlNtjFm61hKGOkT4e9D7QkEyTDERPlpuysllJVgDeQRGfNLKx+z1FjypBJ
eO7K773iiyr15MpsA3HvAIPZDUGmmVuApPOb79btptMVae+Y+5TCcEe+mQg5f0AfFlRAzB5bZBWb
Y7xVfVbzcki5mWhk+du2jpJ10VvlvuKfMjnIbmtuNPDKVdZlmQaSREJVrh01r+y+iEKr16oSVkq+
iW1mzNxJC0tL2rVUQDJWUk9ZRAbdTlmeOrk/x9YPslmG2ANCW0ba4zlbBtx3UlMLtyNo2crrb/Sm
st5qwQgNg9DPfd6D84UL08w7yMV9BAI2JUvLzKK+15c4NqOCOoQDzyCChaYjw4dK5FOUjMhe6a/k
WEeYExDrYVvQRr5JGh37yz6fPLnYDoqgP7ldb7GiZEQxRYYDZ+EWz0UW3Yy8Om4cNr4AuWEg2Cu3
VZG2wQq/O7STjQIMFmpRYBAoT5Fe2WFN170Mk4CJHVtZeEW56SKiAuwpcTmH/uywY1aYFoawTFqt
oFo9xd0tIJqSQRRx6v/QhtFL9bVemz3cW3/wzw7wvehYWV7vOdg/VUfvizIOuxucuDjxmHnWjTMD
L9uuSrdT4ZbTXu/oKVG+g70ResqZil3LxFMt5LGaz5ooZ2MNiQlZL3907QYyGaakoa+q5wyba3mw
2qAvNjl618s8kEttMyg2xlWCct2rMHWaSb+L2lFU9xzG1hGogJlvB8EVbOq+oI7jG2qm959NQl6X
Pr7Gjcar0iICN4ZjazlOsY4jC9OxV408ztTDbLuqMP/O3+E7BC7osh6sm0X3qDmgKrT3lMRyyoA5
Q07WWFGi9TxEOUAKksuA4bAys0OLiV70fRlUpF3pUYEfRES0qr0k8MTGmJhgekhSQ8abPLATxgHw
7yioYp5h+aBhRM6R0jcGFaa9opph4hywsNw3aVcxq4Ru5ogX5YF6nTmcXRFM9boCKXHtDHgVdjG0
8UXdAL/K2jKp16hegJBVCWL3EhVWJ50Zz1If9w92Zjpvjoqo1PgGi3c7ACe3KBfMKReP/xKZicWU
9BAv8iZF8f9SSPLmFXXo8b5zXPlVtIkFlEzG0cZnOhJlSAwY1tYpamYVU8AyzmDf6NV2vWM8GD1w
L3T4eHLDngmvCil9maX7FnoeFEuPOtFNqnnBU6U3y+LMsqbbeUWXdLdqsns/1BsEL6tEVlxYDe7U
uOIEC57gWrC6S3bJdu0bgaoPfRdE5m3WArS9mD4S6IOyM7QUvcKQuYqSSd06ueYqmvslH13XVF1X
yiz7GSart3z55dKp2y/XJUrjbDsV32JoGGu4dB/zOQzykVdHFHGe3lWUQOAVDkQFMf+PPdXsq+Sm
MWz05CtLJGi7Etmq4brUEpA9qT40yOEWWeNmGhd3En9HZcw3YgOBT7bEyUjBniLTCo6Mz0r9FbNw
c9bFFLtvsloafarNpovVK727or9pZleYNfLsHimL3HWVbpybIG5emJ6B/YM5eal5rH16AleMRwEX
g+iigSvI1C78H9zWEGrm9C0vcudWDR1EpUZHwf0s3XJpHEVQz5j1uewhaYNcijzAp6UBCLrbCrcM
nqkrlNtSihhyk802N7UyuaQAx6/AwWXO2jFbkyGEhWNzHCVm8NRm2hhvCrPiNZm1yAoONiWx5nvJ
hjwdgSLwbgCZZY1kDmyzLbSzccMhI5srox1oqWMx7/EVJhZ1Fq9tsleUysGDNhGmH+egb413iNK4
QUrD8EaAtSa/SpXGwiGWDAo4CB6LDDVYKczUHsf+Wk0eHC+sVyvf6/Z2SRV1P8uFLw4Kspt3osjr
+poGvH3Set2mpNRU5XgVT1Ik1OW7MnkgEuneddDxVBG8tBtXeYI3gTLW6DecAlNzX8DWTL8Y9Wz5
WMuIwKZHRCZawC+DvbtJPBA1Ry0S8msSIwtFF9O5+SGlUXanOi2ad+3QdOkmRYUOjs3sM+tWYfnA
g+SKhZEpRh1bk5EA/56IbrqNxBuJScqv6K7A+CnZO2jYbwxlIRoaC1i4u5l56lyqrWIP2cmkd2Ek
IFI+Qy2iLJi0rDVOuuCJtV52t1VQoQYbTBEwirRMoCKo4YVZ09I3Vnk+eo8OEE25luAAbCjHhT9e
6JUHwABjVvRGpBZPk8RhUqcUe3R98lqRWLcAYQv3sGAj+F5KafF13moUq8tu6S4TjQ39dVFEXD+i
rXjbJX6eQJzXdbxlNu/95DI5gJEoifezffr/ou/fVFKghyzJ/H8upZy/y/96gYT8B9H3zx/6l+jb
+AcCXZOut/3hjPbISv5pjUb07SENtpHT0pVmoB8Jyb+s0UjFmQzgUGXxyLRo//67kmLrSMUDkCbM
IKMugyTgf1NJ+ZQTgUuDTIQl2sKkHfgo0/+YbRgjEhddj+sDDg6G7eZV7NxYrRTnuZD+b1rZS+P/
l0T547Mo/Ojci8A2PqpDv2Y2Y0eG1/hGdfAge53ncTLO2WAFTxN34IR2L9j88ij+IuH7lEktn0c9
xkRezhSHP8+SazFXesLX+bwSxOlK6qhQV5kiSe+VbR2oErjWxlK+8SBdZMV//+GfihHLh9NxcqmZ
8PSW4YJ/vLGNpneqZhrzYW77/r0sStDYBTC502TM6qKiOeBg03/3lf/iFqMQQWuOTxZizudBin1H
u0f6Hs1LVPu3eZH07wxhYZsM0lbdxvr0v/5A12CR8nGsXtTonwehEagqdHFtsE/Q1l15RObrKekD
4GWW9spQdffl72/r51obJgxHR8QBp4/gODD9T0UeXJP6HEeKsRO1avLV4EYETPPcUHzypU3CCvvQ
ABhX2QfmjxqXZnSqJ3IoDywJeU+1cOm9Sz+Z5rBqR2eApy8SRIs4tb9Mpv+bVcBQ4c+L3nOYw8a7
jyCT2s2fbBUlusqs7Ic9mX5s01kxneiqiwudOfA1sg3GxxjyCF9nKhagOhEi7+B0Qb7X7plf47rH
tGOmVTkJ4io8eu6KbgxriUl6jMKafePMDJEyOY466sDNR7RZmuCNwSw7pBWD2dEq0dqUmHMyZ38r
HGWctdbTWmzGen0lgH9fjN5VtxGJcrGaKe85X33Qg9PabWc1EtM2BFYkCerWZZdw18wyzYM9Ajzt
Gdl4wNDXFuToAY94gy/X66jD1Sv0sobxnVW6+HCNNM3UNZ6r0b5T1SRPlZ6QCrkOtYcxsMHufGwE
FAR4T3G4qVtN0p8I8oYhCCpq0DdnpqB7oFsHl1HsxIAjomvcceMtuRWe+4CWZAq0LIN4abTOG3h7
daE2RaBejpF4sZJeXbRGMx6cHrEc+QNBPyqM6lBNgXpxofoNIQaSuuPOQngZ7JZvKnJYMEwk5QMJ
aKInE6YvBQFfOm/FwH1EJMJ9a+kUDgEPjSAieJLN7Ly5xNUX5EbBprEQYW6nOiV0DxSR76obI3X5
uVaTDEVzmFgpYXmaq+69yBbQi+3wZVHQiG7XSQb1gScEIXcMvCgtDwz4bgDDuFhOhg2C7+SZxlHw
5CMWRjyL5lptygmPMEpd13772b+LBS8/Op1TMLVLDIOIBhl9yspQudDQuTBWrQUUWBCn1+oWzwpR
x0gTMwWFi7ochw5p9M+wfmSeZLwKEmQUA60jsZJi+a4S9uLKj+t2/3H/bdU78PF9G0KwB/rTB9gT
NkxtPH/8GxCiVVhOesa+MSd7je96l3j9uJZxEGwJ71jAyfJ6uH0uxZ4pIVF0ZXSjLmjuSSYmNcoP
LhSDjZY5c6DmQGAWvp6de4YwUC/xy9xU97iy9ZZUp1bRuCWpnlaRpfEDFA0M/SCN3hvVKoY+nhw7
EmdtBwohQ7oRaxMqS6yUBTALB69ilVDqOJlzML1QW5TvI2MIaC5n3Zzeykkz5XPH7U9IOaqRWlxS
kVXoeb3SGPYEXZ4h3JozOtzn7gFBT7JR6YQspEI3hVQa0WajDtJq7C2oYOuMsGUIx1HuI0zsV31c
qwe3HOowERFEUVp2JGKk3tDyjC84U5q1SCZGWFGxv9HcpL9IwugYhMnovPY2qTXrq5PoCIJUXY00
5Pewx2LYCbpZIyWr57PfDvE7EbVxdsFeHivUuGehVwFNDHTo6LllyQNXGqzamVkKSA7m/j1I4Tiu
IevH6ZrFjbA+6lW1htrNWC3q2NGTVXVQoA3NfmSGqxYyifKtMhgTkaF5tveNtNiyDQ990wosM0tq
yp3uPTH4C+3HQV045ljLZgSAae9qGB3kjOCAUqaAHdQHT9io4Ul7sV/CchlHdZlVEj3hmjfOwkZb
NHUL3HDM5Zsi6XvKcEhclegMHjKw1M9ZO/NiBZPDvEAdEmPqWdbBFwFM+ABh6ZpjtH5wwZTOKRKp
jq8Rbw0L9NqRmpEePM+dMF7LVtOgtoAt9A84uWdLhobo1NZqjTY/4nWwvs7x6LibtsqP/zNKA2VR
cqDO/OAlSfN/GachAundmy5Cy3U6yoNjDdq4tmRjhLyX/56rUZnVjRpMZDazbTLs848DNuzJhB6g
FTjCfg7YqDzN/soUEv694MRqH50EUfLXwJf44Rtq0fV29uu0WOFdHWw4u7l2Kot04NaVgDFmhqh9
QYRU71O78m+8xNLXGW/VzkOKlJPWR90LFANiEYF262RR3IErN/JYG6Cym7SAjbphjEXcnlu/mw6k
bj6kk4k0mbEE0Dcx4r/rBfoNJ3LY3nJ3ZtEsTcBLR+6/Zq78spQGNAnrOKmNM0NS2Usb12RPzwJ+
z8jEi53bo47qJI8mLIqAfbAcMq7J85nYmAqb/5DkFUtQWTHmrUIwiS0G2fVWtGO7n2haoYdz4q7b
AerDzSQKxu4yiYwqK4cJNjzPV7dATHmXSNOLnQdUYF+3fLAVzfbbPGVs+B9boJcMJLsecz1Y+mh+
klvMX5CDByHtkxwGnaqPQ07aovl7r4DAwL22Wk5+c24c/E6cjx0+arJDJy3I/VBXLBVjxyNimEhR
dj8vy2CMdLFrkoxIItI0ji+P+VVXTdG2+3GiLdYjBH4oISVD9CkoO5hQJyqqj1Npq2vDjVEy6G1Q
v0izEagWnJGrTkvBd5XjzEdWLTKzC72KouO0cHsYwKsiiRvIP9LXR89Dl2S7xyFn4k7I/IDpPtJq
58VNDDbWqdWykxStwkzwlyNVbIoElFdwSt8XtaYfxZBoP/q2CRhkIykuc81EOR8FM1NJloVftJzk
TdCjymgbjqcYoiGCRGaGzFxJutxRsLYM6HJwhCKwhPG0KVu2Khw/PFFk+TymoVzKfgw5OWtGQ9aA
/1xnMIzT0cPdFD5q7ydDAySHOGMitLyH0aoN9+NP0Fv6E/tW5IwQ5qgSDFWBiRY3E+XgPNWAxWU+
0XK8Ywow5VCsSxfEHc4m/aDMRUWZrpHGIBxbIHSYdohBvAVpmH9A6tAq0ncFXMefZq3wWxyLbBbX
PP7mAiknOeQL9E5pQXrUmBxCTRsknr3A8WJKVrCuAOYV/83emWzHjV1Z+1Vq1Rxe6C6aQU0CiEA0
JIOtKHGCRaZI9D0uuqf/P8iZ/iVKFitr7IlX2k4JCDQX556z97flKPgdgPTKFanHUJUUhS70oLXd
RA5LutFGyCDViJHOCuVrJ/B81Qrqi1ZkH+JZ6CiUIYAyhjbB8k5F0q+APyUxxc5ZoX/uN/5f3wxk
hFT08VkV3nDAvyn5fHYnmIE81xQGEo6g29fqWRTABAYggxbqRpR6cAepjcO7yYJFmK5UwrSJCWZA
um6uxMJJl+UNd5vv8soz5MtXBHjOYByuhCIH7GHk5peSqT8oi3g+qysXsVYs+aWtdOOqGsD+eChb
KSCnJshXpqI1wMTWbqn8cDSs1EXxjb8IpShJEL65KTkbpT2aobNX0uVV4HKJr1AXRwwUBGFaYDFV
LDVUBEPtKXyBIYuhfmIFiel/E20mWQ0Z9JxkoysHcnoavFhZzkNaxKw2idXyRC7DarOALkDHd4bp
k3gDZfcHW/F1l/TDVhzjOBsOQWNBowXxftu/kCSH4M2o97X4VvQPkJY37Vr4/n679tPuB+M6TlN6
GWz7TTZuP+6CCaHrZVr19T4vLRZjyST9vgE0gk9o0qqTtaZmHL8th78/7k9bf46LrECQKIvzm53i
j8dlS54bMHPq/ZTm1nOvkKuLXIzG/4igv91WRTnfWlbMWtwMa5X7+6Ovg+R3VxdlBbtiXnBO4n04
6tyldE/IvtmPAIb0DQlQ+r2zrrpwn1jt+6jmP9W6ZVuyVt7YFljcv53Cfzp2H3TsiEriGfv3DTtm
y1X7/LX6vmH3zz/zl/JJ1aE0GNC60BjgYvkOOKyp7j94pOAw0M5xdViG/79fp9Gv02nKocvQTERT
9Nn+Uj6BMnQ1dmOWzSJg85f8nX6d+V6EQfPMsdEG2A6HM933faUVkaWGChM1hwF86u4QYjmz/Nyy
jS7bI851GyZVRlcqTgO761EvXhjMLAhFLVxT2P0GzB680eOaDpEZl6WCqoW0KZImIjXlM5W3SRfI
LO2nMMicRCTJhYjGAVMM0Jk0lCCiFo71oAoEivjqIlnIKb7QBszGC/F3jg0B0IEVpQwW7J+jgWaH
6QEq8ATXbhgO6he9bNdkeKvHEXcHT4cFZOuY0YifJp5k7J6TpN+OBFywZhYONlOPmd5K/JItwdob
dD7AWEkVZQ78n7fmf6UYxKu1qqX+/WtzRYka/5f/nFX98/evzp9/8M93x7X+QdcTci3qK1xW+pqX
/mevW1NNXisWRAREa/9X5S39q9fNW0WfG+8JXyKEhetr9ee7Y4p/uIamAuxUdWdln/wt1aBp/7gw
89LysPG263z1BP14g6769x1omrUMdSZbv1jYgkZLkABE6EMfGy9Qru4S/7y7rQtq683giJQhmAm7
UNFzC1d0ou27oVYuQs59OzdKsYuouT27WmAcRuU+xs5zdJrR9k0czKdKlsodqWu1V5WRcupBYWxq
s7DuyMmaKABhLW2Q4IC8JiQMLTPFsdXhJOTv03Z60yTlhoArI0gbN/Q4b6zNItpnSXxpsdM86q5Z
o0UOb8alOQOp8uHEACUgcGPfdLWxQaRJhim0UhIj/FBiMack/yqFNvoyrTsPKR+eZKOcL8OWUIOx
V31isv+IFYstU94pW0gK5JyoyxLwoqEFiPSABNvyEa1xuu1qiNVLbm7zqT232WxuqYH651bvDdgm
hePVAmyYUbDn0AqNMBbmU35fOu5+7mRya7M/85lJLvsaVx6EECIqxroe9lGfntvZJT64yxbKv0QD
5k28oanWxpYkBsOPEkWgDZLTZqjy7pgl9mWs0alga35LkOS47UM7cAu5r00CMUNmqyTz4kUxqfR8
PVQDJSEyTcTzJ9Hjrh/69UfUGYlqZG35OfnpXisUi9pYvqBe9I1pKo5EXSQnIKezZ+iMyxd7pyR5
vRNLQ1xZBq89oS+8aYS1d0P32M+V6jmZjoxiCRXIkgnpsSro6K6qMVjIadqhuQffiIbroANWv7fT
ejl0uLR82x6bXTdpYqd3yux3k2qiahCkajpsF6QFC8ywzK2rpU/1VJsnLK2HuQyRaQkysiUkm42R
RwGFjb1xsQxhMFa2WdrcV531yZmWi1RHNhQNlrlTAK9taabHgV0Xz4tInzCYmkGKJZ/O1ggIBCXT
sdHdV3NRoGoQsujzTNzn3bSxRh4Jp42Iqk2rnYyyGYgZYAhyYL2BEHHP7HIVW7440DrWnmZz0bys
hXqgZC8LFDjYhk69BSAHNh8ljrcspUMrgmchKUkgtKPa3MeLCVoBlYLHpr/xM639rHQEQWU26Hl2
qLjRCLMMNHJJtpXhmjuLNKNdaKQPrW5Fl3SYi53hvERupx6Z6jaeqC3lnjinovOkFZu+nSfJLQEQ
jldC496k2copSdz2Xi3xMjLMy24Xpno+8aCXXQ8V1EmzkX5UzLCcMHLG+aq9LSfgPL2uqNdU78tW
XbKCbGaAAvhcdR8ZH9h8O7UOmt6GXhI5wA/0CPPaoJ8IEZe+gjz1AdgAVxHRiE9IM4CCyB199JvN
RhUVFCCRqg9zaOKjVvDzFQM+lz6ubc+VC+jZJSvvMsWYr8NaqkeNePNVLmbFiYfDDzBa7cB36Quy
EXPk0AZdsR2nKi9IkzP4F5ULgofzoMos0vuyl2RApQW4Oz8MjR2RDjMovg3N4rJeOrG34zwF3au+
TaRL+xOO92M9LHTvrf5OdZIDcWkWsLN1CN2KW4uBwHZUjTWGFeX1MhJtadIY3hC19YdEUQip8zrU
5DXcIBK70gTFc6K8FuYy73CQn9reJheXfx+RU8BmeN6UBHXvsMVgOmy7mkE9O6zYNkDLmMlzQxQ8
jM/lriMkeG+vLUXyjwh/c2TvsT2Zt3pS6Rj1Gh6pyGovyQLZyUJ/djFRYllLDW8oOnEX6nEE687d
SgREKq9agBPtdUC3tyFeIbwS7ZpanGvaMYQqsUtzfdhmM4oWggRrf3QLZ0/v64yP5smyuos0MtND
J6ZPztih2Eus3stnwzpITG73rjtAksMuyIDq1Yph5w9h0ntjlN/rmjzZZk/kpaMfk6otqNyq/DK3
yUdX2+s8pkkJ9Z2s76Z5a1tSgzCchFjlZRWYpL35oZgx5459foFGqg3MqYWgaITuHjD7hqyiJ3em
BYl5HDJVqZ0WKyWUFDbNrndy+LoORyyX5R5pXXLdZdZFqvERosk2wX1weZ+1KN+1UhC5Vgi42XAF
LIwdJzC3h6htUH8MhkK7ADQwY0jVj4vG+pJn0+cxlHJvz/bXSpJ7i60OQoHej8FUTsoOe5/w7GJw
z33ObCdCCdqY5nri42WNPMTrmY14RXhbpUu1ZW67m5qEIZJl4jKMlUdJpMGGIK6vRlLrrIVSHpxh
aVlrEtQXaBD3rL/JMR7MMSAoqkQVghNJruBPJ9eNACOy2EX2aOz0vDY8YhW1ILLTx3FIBLHOzv2M
nKdjLgUPMHozFHLL8zIPd4oNbsOsLW0nKtvZamahHp2aTTWcDOx3rKq7FoW0D8lhMcoXepll/2Am
fUhkdATT2y3300jzpPYgwzjV+InuAeGWXso8I0XTwtNXOGcan+5IXmwM8Y+XjLao6Iw98Opk0Dy7
hiH9YEiUUQBU5rntnGgruorVO4NZVI8kiZZQJm4hJ9lW+6UaMDKXqP8Gcr88YpRoGcAez2kuYWGq
26Vt/yMj+V+V1xolLKXmvy+vd2xKk68/VNZ//pk/K2uybvgrKKyx3GCoRVDwr8oa9j4VrcU8HGm7
+k0P8ldlbbArVTUXwAsnoMKPoMb/s7LGxCMo3tkHojD5lp/zd3al79stLvU+rgCNDS7/yE74x7o6
QoO0OHUl+bhJSoA8c2mTM5p0L0wJ0BueS1tiu5TYet34w2bWOw0LikpMNw7VPMoSwoP09ey+U8yT
DLu4wzL1wciCsrVnWn9aouc+eIJi/91t+YWk5JeHclddjs2qAzDxx0O1RjpoWiF6yF/MonJdo97q
8DZjlmj8v38oLuWKWdC46e9bZ4vGaHbGKR58c+MDUW98lCSZ10+2PPz+UD9ui0BOrmAMfhMNOh4K
8T4VC5OSzHLBBXSTELfSrCPmlNbbNFg+63HKHoeVnL07ESho/j5olq2tuO+aZX8eHBHS+hSjzH7X
IuwZ2oVG3fekb5nWZs072Jaa2Vz8/if+fOMoxwiBcABN6mR/vTtKFzlGNzShDFo4m2wHdIaTGzE1
9rBN64Jhxu8P967vyY8Sq/1NRUAGLuMnmKagq2jEWg+5arYgnGftK1yNNxqdxUbLixOV0Z+ti3/r
bvn5MgodppmOR1ozNfV9RzeMs3R0jEoGqYpnuUQZys2C6PD737Veph9vFkdBTAURgCgNYayX+btX
zZShRpplJgMDpiV9deUCZ+x5hruJ9oI57O+P9qur+P3R3t001F1RE4lcBs4waozxcfEPDBrqNMPt
57o9EUzZy+8PqbOQ/vQLaVDAWsUAxwP5bimb48xyxpHXTostJg2VmX+KVCDmxDM7aI6izJcNIUyz
4zU5MA2rB6BeC2Mvo7YKBrhaWznp46Yd7fqPaTKUw4yMaaOHfXO3tIRj2hSXWgYx5vfnrf3i/hOo
ZwOLob/yM77V6SIGnT2vEVoSkGCmMmb2ZprEsFUUMDxJpzVeTWHhG1y9Lc5n80ldIA9IzamvbAyV
HuQ594ykOfrgXRC/PDXW5/UNR2743peXujnCK0KUMTHF6/5J+Lj/yIF3rB7AYtQ9TAkwGZUoEWD7
OSXJVKbtBc6NgaCxqUcOwNyFOQ6FHZGbGwMbgQ9NA/CkHs2nSOrtlW4tymHJxspvhr73yW2sEY+j
dZGMmT/1g0MPxUgarzUVewdll7wAo3W2aMiOPRvTzajk0iP1BbhGLk6xmT3I0emuiAExAHMvzA8N
KupR6c8VyOp9k5CQNJsEf04May7UeFYflbYZgrTMFI/C+y2bjdueUEf46FG275lOnfmby93v7/rP
Lwi6UQoD3nqGHD/J/eB5CinG9aZ38ZWSwd9OHPVACNO9XELs1RKb+P/hiAjUETfCU2K9+XEBcNtp
IMU+64M2DA+g1bY50W9uaV7QS0IT4Fqff3+8n9dteE2sNrTVV8Gf/k6f2kWgt7k3fZDOObh8yvZD
VI30i/V29n9/qJ8fU0dg3tVpRSJlpI3y40+LJMTAEW8rOJRBnEhj0A6wB+0PLuAvj0IjlDIF6wnX
8MejFDTvi37kAipWC6OjsV1lj93Fuf79j9F+Xsf4NczeUEpiG+Vz9ONxmDMvGq4YHF8M2nycVOnO
mgqsvl1ZIRHvbKxgPPggmrHFOY+tHgWVmSUfLUsGh/nxg7FqlBGJOhoJjYxGfjyNpqnMJRnsju1n
bm+ReuQ7vEH9zhzpiHqGuZgHrZzcbatWr3k12rdZn7IzE+pwWSyLccSDFn5wB9YYyp/PCbcqISyk
7P6kWY1MRSG12OgC8oDLg9qKratKFFtl31yFXY0gD6bHlxxzjJc3ynyWa7iqlZBF6zolndYyf81h
Yl9lzuQvy/gkcfx5TdLXd3MpISn3idiLKB6P5ZxfKWr/UXHx6x8AVwIenIFFn674D1/hUGvdYqad
ENAeuyWhqN7J0YweYlYxr27s1A87TaWFYfV8sdriiNXq2Unse9Sj7kHWBKWwux9oqFbuDd3M6t4x
l9dFhOXRcGJ3h4Nl9scsVfhW9OzxE9KzP3g6302xqI94LL77Be+eTpoSnHA1A70mIPGIGLo8gisr
SeRT/T5pWeQlQ6k0VQ9GBe+ko3P+wVNg/PIpcGGZoerQYai/e92dmbUED20XkALYw5lB1fFCWXVt
mx2jJleFLzNMj0wS4j9wc/dyiNgj68QJrElBQ9TtdJW2ewvydDPiYiNMQpe1F3PAYBJkoSAl0l7n
UtNYKu07ohO2Qk3xcCruIzK/dq8NQr1QhJbvl6p6tgf1zpo5EJxBHFVYNT/Crf9cuhFJr2omYWuM
aH6afQgsClmYsiA0af5YhoFNNpCvLOjdqkUYH9SJv1i2GeYwn6Su5y9+z4nr8swqWxadoI7KNxcr
PF9teKyEuXwkQF93XO8WGI60ggyg+qH0f1cjEhcvSW4XPEltdJ8RbIYmeVkHhzO7CTEDzN6oluIc
wcjFHzxCv/j6QvLXYVCAoGBgtJ7ad8VwHyWNHqYq41J7/oIP/5p4l1s0PG+53b+w5bX8D96a9a34
6bcKRskaoc9M2t69NTBbuylJeGTZhpe3EOGu9Jmm8VzGg2cMyyv+s3uauWTWzTXFjemgHemidiUY
f/DTf/kwMQrny8IAl7Hdjz89gewj4oH3F5Vk76s1TUkTA/FGSYDYijh9+/0v/8VH08JBy20m+BOO
17ubbLlpFjHz4SbP7RRENSlsi3TiD/aI32r799dXo5PBk8TlNd97C9JOiyrNrLuAPXLrQbuN/aEk
Q9sKHeUw4gUH4WfSs5+bfDuGzC3oBuTbaVBOy0LA5+9/88+bciAP7ArZlENNEe9nleMsxRJ3GScz
9Oo2jmwMX+1yCeon8qJCU7y6K8oA0TQ9xoy4qN8fXfvVG0w1xMWmbnfM989aD0xVN2g0B7Nmxi+1
3a5ztzbqz+iEBb59q7Isj/hCggWVeRVa4iQivxgNAel+RWPHGfOHebwcYgMNmt73krFbhML39+f5
i9NEZGPhdVHRDtnvpTax4iQz2YBNYE1huwNMNGzNrnEZA5I397cPhcWQoTKqciA273s/zA27usEx
GvRLWLyZJBTdLGVMcpJiqf+Hn7XaaVCSrC21n1a1epVYk7PVBEIn0cBl4A5h0w5PabvO5//VaLz+
59P9PbzmF4sYR6ItQokIE+O9P4VMnSitJEdirBP5YV/Wd0XUgAVTO0AOU2GSzhPPHywfv7hrxH5a
tFrw16FQfPc+R5FaQrUQTYDZd/AKMaG9TQtmMyrMw9//PmQ7P6+aVBqEmhD76ZCW8m7VdDKzktGi
8YiYgOJ2zJF66CyxOS4+TuYSblvb6b5FTY4U3xhGwNh9K6ftgg28uEHxzctFJNriHojVyD/p9YDq
FUG3I6F7gQdDat/EzxUMi0uYhAISeZzjrOgYGhP0w08yPHsNe/DdQYxkx0GRmU9Cid0gwYAMRBxZ
ZwrWLyZuQ+qoWXOTGMddqhWkYxpuHeufof8lBZlGNEugQbODiU8TeoPQb5OsjR+6vNLmFVroigBH
fcE4Xq21Y7HgIQ06mQ3dlShK6VyaPYkBN8RX5eWO/66M2JVbZPIbaZJP5pfZYEaXjk0gmL/OJNMd
Ksz8blBcKzy2pVLtkbXDNpojDD9YQJJPuNoME/MrUJSDHYEw9RxZweBE5zpH26IGLHGRDmwnMfu4
9ZgHXUcaFlIDMU8+4SGheiIZKVTpO4CH9uuCrK7NkBAE/2zjBUYOgavAWxyzau/glhFEh506na9H
UhLuysRs+y1WDNe+VSu4rkzshkgeKGKnXeNMbrIzywgMCHqnZfEwkbikcPOJ2ubh2v5TFdi6jFaE
85DGTe6BkSU3tDPjQdukdS32hSNv6PPuJKSXx7DW888k56m3fYnhNyzSCd9Kmm+Nxj3LfM3L7nZT
bJe3oU0T1YzhGgAqCADaEpXsZuhF5HCEwTx6et09pxnDfJJgAfWmk7GDU/DVJOl7O+DX5hxaO7C6
Ud0SU2cFZFVVMN/NZQM+Ljp1Zj292D32C1POKYrU4XlpLEFsAjCQYZqhhuafUNxscSE118ItWub8
ZXKNCGvxGDtqJ6fI40toIwjDbSAwhMZ9mhh8BULRbpIEMSJj9/AAazgjqzKTFBUd8QR8JRiG28tN
lk+kpZg9AodZ8B/ZOaO7NI0mwSrTpPt4X5rtxMh8k8bhAJIrK06jEeNVSJxrMl1uIQBMW2104t2y
tIs3K730Qx2180LpehtGef1UOp16UcY2fkI8Pf6k9u0biSElulpYQQ4N68CuKnFocxf1Pui9g6Em
+qHDgbClSXHUgWYhj9d2mZg/F7AGPmPg2tvCvEvk/BneA6M/1aVRJ8PPhaVELW9g4RwGaZe7QYGf
DHbkHh3dCj4EUWtFlbNVU0CQEOKZ9KXkYsfsG26TVhmum6h1bjsJ13M0uoueJB8YuiAqZqV87RoM
TI7RJ3sSWsG5FM7wZna9hLsykrXtZwNBFzM4HqIdDLbmutoCkqgIY7vPKieG+crD84inz5h8u2Ef
wceURSKN5Pil5tpfNSNPGRmC5cbJtIMqI6ThVV8RsLA4J/4Bqi8vxDYEvD93F/gcorH7Msetjcsf
VwY6GX+BH/RF0YwdbF/QKoCmxzqwFb36Y7JBfe6NLNelT8ajDSC30iDNKsReppvMRgSyyedBKEfa
syoJalUDy6LlSm36rMz9xSmG+5iu/rWep/p9WJRZchhTq90KIDJX2kjYAtPLcdlADZwITunUF1Jb
qCfp79bk/aj5iYyA9o+eaSaynDkCbkXohHExTR2s5SEL31ya+9KjCijYfCMw9JfZmR6YMxVvbb3S
T+ei056gerQ+WzRxdkvsdWBGsC/F3Rz0VCz3zmymX4aOv2dWcjQ+PaztpWI/nUw4SUFigfVFY6NA
34HlCYeJJyE23OZzDCzoD5iu2S6blOaz3ejJPkXfCM8SzsaOPNruEQUVqCO7GsF+hoJcH7l0vBzf
IJiZCiUysgDMphRcB+gaZO7QQkbe37vtLmPfVJD3hpVx0yfR8GkFRcNzEQlhLG40hgn+MpMYhILR
4KEu43x9BpXxGLlpfIdalNhWG1bEruNyKp+ggPAT7RVXdyLShFMlTuLTgEdovIxCmI+Jg+muUiE6
Vz00UDPGKA0lIgm+4ZmHXoePSiXSHK06js/AFYCiMpjc0jgT5wj9urUtq2LZLRII6FhNZhGAzYvO
5BYNNrKwWJx5iYDRh9xdmvBrtIUL6jSO65cWSPeNubTafZdwvZM0m4MFEkbgxFxU0m7nk8KjeVOL
tn7BArcyaa2FLOCsAWHJlU32YoL0ainYWrQWmGWtYRdahg5mLzmWn4eY67rYNphlDYkCitaYywrB
ApIp3YhAun331R07cTaXRkFVULnReUIDi8nRKor5K0Ac05n4Ao8GGHZc7CH2OD7Lq+wjjTyFsBti
ZssVqu1IuaYjVKp2X2uzOCeiCh9qK44wBsnqyYqszO9lvKz5P0uoITikiBTSWJn+DkEMrUquA/Sh
U1vw40lfn0huAkFLNGeyN2r+dK0q0Vm6jQXw1hFU4CUS/LNpNPmhzVacTe/SxPGTjIgACNf8C9/i
k6JozHsfx0glNwvvOW0s2NjzTNPasQc4y5EpvDCc0VO0/fqUy7gmzBZKzl1SQBw1qx768VhxkrlQ
s1unb+tnI43Bq7sL2ek1UUvn2SpgjnZIkj/nzTJdO1YHPHvFHyfr7UYM5VyIFPpvs3KAtQwOqWvb
yCUoMuKz2XHVcLLMCECU+U1dKkDDE/iZDU378BZeDqFZagzb2hj5G6slu6Vknx6QmHZflxEu0BGr
YBdvlSKe3+yaNp8XSsDuG/otXbvBizCW5E9VwJPIGigwJyogU82YLdemll0zH4oBIRS/nSdpUZqW
pdcyedJYs+JznqWVRpTGUl0rRkoTd5hz7rWK7GvA1QFh23O7/q1yFPZMOFpSbDUjxhcSRj59g08P
Y6e9WkMKzI1Xr7lhtVjeKj2tW8/SyzkjLEbIV3gi4FdDICp7pa65LBZf8i5QSWNrNxYl7/2i58qt
26usZrY1vE6109zAGafx3xAYhb4R524aNjda70RnAnWgrrqr+Xk1lLOOrTwSFK6HUon6xyZJSvWm
JfSVNb7KCnGoQC69UVHbl+yJw12NXY1FDJgFfdPekAyEDedp6Zz+KizqKBjyHGupVXBr+GxeGK2Z
EZFsR8m1ZXb1Dnhh99DWA4igJX7D1cr/1NV17YdDbbwINxI7s8aRWZuAnHRjKj0xGFagAeveMNE0
/axveQ8hos23WgHMgCJkRBCW4srOI9PLleoOyfglAdqrD1xF/9S3rT/CY7tCJXlUZTwc06JuOWxm
ndURoBGwLtYNYyHPQ02Uy8lS6nNJlMcdKfLVwZ0SibYvKRbCYxg2NpAQDiLpj8M8EyrPu3mpRmN7
UUZ2eYzict5Q6lMCYhBGzRo9uwJWVmaX021WDcbXITePTaJqLGmgPReDIKjS0la9j3nCX20+Um+T
GqRO1Ys7rnOmqt/FdJYPkKZtpmUxBelAOvSjQ7T7rQp5eWdjcLGqvPFBdeOyT5pq74zLM/2/4ktW
2MsKiOMi6XhXWejZ4Xj2PJuIirKsO2SKapA3rMAdLcx61wFuOsVEVvlUqOO16WRqYKRpdycbxWKp
c6Nb2XEQKUL7WsL32dCYJvjEDs1nmF3WJ6ht+T5J7E8TJoSAdimgX5VSblMkc7WpMMVdooEOvUrT
D6GxaC94osYdQAE16HVt8Z1EGv5IFiHd3rjfjBmtwmierRPFhfmYmiIoxVTteJ1YgCus15vIwgbo
5q77NpDn94geVrtyC3dBtVCY93U8pbADEIYK1q5TEXYEwKPTvZkH7pIYcH3tbOrCTdu3IEunqX5d
GDURcxX1yVWT8hgkZU5qEhFBNctajWXbLNLOI2OxhTKHT3jpdU/aFgW9GaXP6Txlx2gs933WIJMU
pnJRzel0Qy7AI+byYseruIP8g/qOqR4FmS2vClOEDzCVKDOIZ8Ypr6ab2umTW0dtFz8rDOfUzQmr
lxoT1QMUOzNacS5qpIBejAqPoUW+HOa5Gi4tofDZKcC48MJZ5bGOphSSnBFj1MOPxHvXlmxLc2X1
7DNDGy7dsE8/F/BpAqHRgKe1hlMWoRgtDZko4BdI3b6YaWazq7MH1GOyTTOw8Il6i/r/2Kb2tA+H
VfHbZZfYO6pTV6Iu7swKrxsDnk05dj3OkHTeIGLba1gSP7vMTNnnPLdVuTL3xOI1Ndk9AEFjwuWG
XvsM5aw9VLr9oi3Wa0iqyhMVa/6Ud3As065THrDFKjtjkNG2t2VxM1tULDmBFwy93X71eEJopBya
9oDVBjyQJIiZ/mCrnb23iUXkG0N231khQgtZ+2xXZ9o3lbrRnRRshcxzFqFKQw5dwM2+0RunuLES
+sibZGYBTeOx/5p3uvpCelT8tQnVZU1C4y9sUAEc0YZWd7OpO+PnloqH+5awyYEQlfOVUCzjkNf4
gxeXkAe+lvTOFggVkqY//1cVrkbcMmNnipjSPEYrEKLAkfG1kx1NhG6WxVsGtgFu/dKHT2qXai/Z
NzRVZaKk7ciXf9Kzlk24GSYKyVhL2H1VRE14pI5nx94umSBJvJlYGLoY9S5S2n6odqY70tHAxcPj
EeuSAqcqwTnGlgTo50ZV+CRIhEVQXk8Yje3UzYRvliqPUWmgefWHjrMEUYZcyi9RadlsYiYOmmL5
7E7JInr2jWo5aLE3okKMdhSv/M2oKaHUmSPtRz8mXFsJlHktAXompKAHJnAVaaya2DLbgqI1Dy3u
krLwqfPySYZPQzvEBEDIBBswXMHiTZeSo8rGAIQxmob79M+LKQYlkhuD8WTiLZ2KMs0GwVPhyLWq
gETeyDMQWWaIStemANjM8k6gHyuDPElp96AsSNhgZlO2rzW6QGe9AaGyI6pBnOa2r+7EiKKCW8i8
1RvDht+X2YJ+SFurWXrqUDEMQTEj/Lh0h354Gyx6o9gagMdeWooW32fzoAelBPZYAP29yWyXOPca
cNE93LJu3k+04cOzKfnRe31QOUeqcs46KUNunjVPpcL8ryKelHvCu0vvP4bdgsoT768CEohFgriE
hN1LsuFk3Yu5G7rXBI5oHriyhS8o3YKQdjgV+uTlGIKpd7mdJI/Q/zuOAJtJHq16KjoRm3V6UK2W
JkrLbCVlcUlEy6uOG4g/q/D98nDBhkhNHYmsSl9AS5/jwcDTsZaQuV3q/SZHG/igpcSqNnmlHplJ
t3tMHcZNETnTBVqm5NOyxOPDqJNz8K0f+B9j5AfGSBrXGp3Rf7WG/ef++b/+qV69ei5e/+e/D1+f
4x9skX/+ib98kRpiUjSeqDyBbFs8c/9SoAIP/Ae8BE0gDKMRT7P3B2cXCcygKFa+2Xc8eFPDFUnj
l5JIwNkB8vi39KfmuzY2YhQUrpwWI33kb8AufxxIZVrYECYQWlc8ocqB0LOpOZVUO+yjoXpShm4g
W2YG2iKC3fI7AmiE+4Je8DVm+nln2pkhPK0y7gFfT4+4BpITcxGsB8AB+XTWpYVAnMR4t/IVY5n7
WwoFMI9xNI7Ng0rclrIBnJobxSlzky4YhjxNrzDtu80GCoSzYzNSHopwphVM5odXzFrkl0VughR2
xI6era5vU1feAAtYPfXqGF7kRl1fdCjjg9kaGgxf7fgVhOmTWfTOVxNXCxzSyg7UmiydtshUzxSF
xfajezbaFFMKTR+ag7bexqdlJv9arStzx41SrsoUEb9v28MuVh0NX0rr6tHQ0haQWjHsRJfTndKT
MT0rcaw/woJfZby1j66oJiYyVm9nRCS3vcT+xGzqMScD9GES03xGwr+iNN3HaXKs7aDOXmgMxY2Z
Ks3elK1+1RZFe5COEXrYPZKLYqjGA4lTyaWr5M9u3wh2muxfsOpkp6bI3ADow/DSZXZ4mEM4Slmp
5eAx0fIvqQNeCvVlQ6pmW+1dPXklv6slnzKZPgvNGUF9JeA8GmDBbMBy50nXJUN4O425NtVjkRSP
jcKhy6Zm0hGPAzNcRWwNg8hHlDCgyGu7gGdF0vKasTQIbWMkbnFnL/AsNlRk9WF9Ih+aobN2VLZ8
l0OZZ3t0AE2CLcVGulsNtk+S6oBhhN3MzMBgGuXGwjtxa2Zadj3P3XIOR5K+sDs1F7GhA/5N1Elw
FHwz7InNwExzGuGAtpO7kWzmC0Fb/QLkj3GJPAtVTxyO12PbtLuy66Y/esfMydZTYSDITKnfXNre
ZIOOphYUdjpekCeb7CdR0qYMHdrKkzVGXwluROuytrwRrZbwSJipn7TapXZMelsFAksKkNW6ZJu0
JLWSPWcNhEw7bOqNaUY7wzdXp1eVNTN7Lzvx9SgeiGolGipTChJZK+gJJ9gpU7rpa+LLvKGp2p07
wr9sOCm7sepjt8zdA2qWkpBZqP1vlcTh4Ti5SyoV9hNseV+thWBVolZTkGbE0dAOUADNT6R1eQZd
qp2dQuZBmZpt/h97Z7IcuZFt23954weZOzoHBm8SiJbBLthlM4ExMyX0fefA178FplSVyVslle64
TCaVWRnJiEAA7sfP2XvtsVXnOqTpDXs63ucIir6Mrsz32DjdrwRXLleLLkaiFMfYPUzrcLOV/fQR
+Lx1b2ShYmbuhfuB9IYoKLNpPpOAa4OV8MLqyoNfXW/hwca7mYHNPU3lardg4SC/Hg0LpHb60BRi
UD0c5+ARKPZC36uis14ySUvDlVHhR8nZqDlAOQDiSE7z+Ujw5hE1mhDz0e5MtKfacQbKMmJA6sN5
l0ze8jzqBuvj1Mh97AC9if2Zr6S3w5vYK9t7l9BcGXrtU5IZ7oNvDce2tJa7aRCEaGl1xbwBswyO
JX1KwmLitOhW9wzeDJrxEl8f+L75Mevy+qboRvPJNEHKcmRttoabUZJN7XTy5iQOT6Xw1aNOGzPw
qy6wdC1uCmXsRFlNl8hu2us5rdOAxVPccrAsCTsr4wAQocWi0PjbyJrEaWnkNzk5sKbspjwxCDRP
RTe4m0R2RcCZi/AdvuQDUdbxNkzqJ0PV+ERn0+ofFz+efy1ETXaOoebjnBb2Rc1NARhVxpCQLDMO
ZOJkBzqp9TYJWciFufTnJB70c5kLe09UexS43ujeCOqnTVWxEPlotrYhzYtPViXiIwy0PCD2FXGa
3c8GMCPH/cQmSFyR7xu/yrQxNnqKrQCF7/BbCtUGMFdSPXQNduFVsNRXjXiNliLaES9PWDOEXZTM
He61monhJ7LZ++u2yB+6qiIy3HfLwGrb+kw7o79fSqfaT6QQ3guZ+Hdd3JIr3A9kDttY1w6FjTGQ
Lom3hec/bgcV27/C5h93k9Jfhxw9SMaamW/CbIqDlqPhdWzYDQGlzvShZjAWAMhaHlA6+9veqtxP
iCl4Niy3ZuyB94/Abn0D9MxgwcJUR7/d/pzlIwdX1SS3MizLwyIq+ToVkY25cHkOcc8GJoTBozO6
NTHERki7MJGaLuXinQo/f1iEPK1jfMjy0Il2mZj5gks4j1uVjJcJJMYHQztoKoYCK51bxvdp3s3l
xmii6QW/XnPlW426imBleKyg+NhYN2kW9OK6A/nysCzDPTAy+jQ5MwM6u1ngcO89paRFrcOJDY8E
7DJf0jZcovgEku4hm31utamt8OVaYRQwLvSOiXYHQqwArjMOKALhhdcU+NmhoocJKyz1sMXRXppq
Wl08ULjXCvqTGN1ILNY5gy8vLK4jp2X5nsLpNU5EfSD11z3TiFZfpcrzL5gXjVunay+dhXeO8eaz
mG3kxgR7X08TydNAn5aDN6hh1zhqfIarPFzR1XlNl7Q/xSlakCZLVr35nB2HZfUEQgvurhKTXHI7
iWyQWGV1v6zDBAYwzoiU7kIrzfxE43O65mA/xpx0wvEDZEbjmC+jc13USXplJs6+svCiI/m5Y0L5
oo3J3gjmhbuktEJoa2P+BNGyPgx0qe9oVchAdzWDoyb81csilsAojg9e53OEIDT42CHovo5tezrX
JMN8HH2Sl1UHE6he6FuB2lh+Y8T8FBdlCUw+VY9ZyFvoZdYHvD8aB6l1M7Kq7upYfg47+tFFZTN4
qKvrHH0JPTt9PYfSfs6brLxq6M/vbKMdDyjMfYIEs/BzO8wa9WnSftZG6W6gf/u7ajTHk5owPGLE
+zxJ1hXM43IfTSsDOip2+RC/ElU7E02JeF556XLl+0yjsygnuv2sKqTKCCOK8dbOUTyh+qMfI1T+
nMIOeqSoys5l47HVO5JZIIF3XnpXVb08IAevb+lX7gvXqg+eFu0NswRG79oxDnFqF3sRm9G1YtC7
a810OEZhmtBFZmR23zi1PkFIk3vtDRC/0pRwOnv63EnWWqY8Tn2YJrnc1ZNKg8whW75a2nLveJN+
xV3skSnZMG8Is851wG1FTblxV2O+Uy36awlg7LOL1lJQ5r4WkU9Usxn9VgxFs08LskGDuTRakkSE
FxRpZhzJQINCSBRMkWK/zcqbWptZYGW2yzCoaOKAruM3erAmvYJlYkuDbrRxfLCcWZbeUfcGPbHM
+4kD9l6ENTvoFEItZx0I2IRrgmE8QbKjIRhLeM6mn3Niy3sU/oBDoh16iJYs6oGAjTy7OEwprU0n
Zn0Ow46jZmlySuWr/owGMToSxhruVDng0Y3wP1+1NFSCKDa6bUNmOJ56FaqPTQzmbC8HTJDJIi6q
ZkPaTHOUMqTs5Vddq/wOQQULwkhevRVm5j4sIabJR0+HQ4olYfTi6msyFJhRN0WZ+8WT0nGW2Veh
4yXZmaB0v3qa5pGrRlNHG7BM/JJKeZO2zGotBqlSjUHJ0XvLcBS2H3kz5RaOVAqPIpr1r0SaxN8m
n3dIjeB85Heqz2QehfvZHGtCX0PdbkAMk47eecnVMHrNTVPz05j/q08WT56Vze2eV0Sp4vvwAiJG
7gleiWoT1br81oZC3lSJ9k4ELC08wV013KrBfVoYz22a1nG/2XndhZtFLfUZt8S0cxa/fWiLxsID
DpbCKOriIqYYLzDC3WhTxdNwtPPeW1cDMuoaDNiVTQljTl2xiaIkO7otBn56euZZlB1dRQHELaG3
vPPyWG8ddy4skF68nsjqCqvIaH/oaB9pVAugOjaQGYkaIt87EFy5hwkFTpDk/fwJ9tJdlGJn2Yjc
14+aDvZ2BF+JhXhYxA00MDNI+67btla+5oI5njvQR6q9O49dOEVIQfYMkkBq5A7a3ZUu0vQp8nLS
xNYkxNbvxtu5XKLHwlk6kGdc7JAsvYMBei7aOETE3xrhOLU004DouqSnnOa0ax7DsBA9kRn86LD4
zikDEv3QRz4ChEY2L23cyo+SSc7HsopewkKJa9uka0YTRxAEbNYM48CoIlgexVn5Rf3IVLNbQ3zr
Ut3QxLMvZdy8qqWlW1wvmpRLIxZknaB2SIJkiaDJCXppd1k+5x9SUafPXjqFB8/0yb6ZB2keOAr1
z1k7wDlFEwAB1kZzUkT1lndU7tM25SHU5N1uWrd3ZnB6zIVwfjfmFm/P9GWh6qPiN4hHbSs93zcE
goMJ9PPkoY2Yo4hmYfbK9IsEUs+QO1MhrZrIzjzFy5JeoytNToXlq1v6vBxgtcvNJIwvuVctz3Fk
h84GVRkfzppZNISTzR/IraRvKMdJBEuqljtjrpZtjtCdycKYPxBZRPTuwn3VLohWZCOQnL+xbal8
gyTxq2OZhpKxCPpPzp9rISud9tqxKK6Ziq3dziXa+TNwF3qvKNVIKO0nr7iTWdpZiBKgkN00kl2A
kTFU/mCI3U5MjADc5Zsxl2K6l76RHt0Y/19Sjsb8oSfnVz8tk0GsOPAlDrw9U5XOUgThDspU9ca3
Wj2duSSth0QiasjatTpZDdnm/5L+2cV2b+hbUpUOoaGapzwv9MsP7Z9/oQx8nzovPGA8Agi9oiqj
u/NedVs3ekpzS063ePycreGb8Ubi2Fe6ILyJFKnos1lYhzE1r6zM2Rt2u3diufNUeFMPC7STfsdH
PfhLyoA+Ofz5m3unIPz+3lwsnYi+8eu895QVcmwgF5rTbV23t6qmVgyPhEj//RdBML+GFhLDrt5f
AAcIFofecbpNTBx0/Osa+b5U1f7tZf7bkvyLliSxjX+ernDX/hpV5U+8qe+/8o+epPsL3HkfTaev
rFUf/s+e5Gpwd9G1eg5UJ8FP/bMr6f6Cy8vn99AMc2P/wGp760r69uoNwrcBj+pvsdrwL/8sPcUT
gI5cOSZ+F8thDXrflewGPImDn9ynZNAiJLdQKTBwjBhA+2Ft2xfbbRjpV2T1gq75HlwFacINMlr7
k74F9iPBPeC43XR9kvXWQ+zl6JM+OHBZaPm5GUtvTaAV1di6yvR5I75xLp5YfBTxU17AeXjtKQyy
YiOo4EZ446HybbSZBNlercmwv1kIVqqN3zXeF2NdFbXrRVcqW4+LVbQwn1b5AzVkeIgWllVgcpwM
OHxQqVjugAzApPvIHKtuGelYNvM5FmtvXbWLdf0u15XcXdf0ZF3d9brOK/jOn6m+zZ0tavBObenG
D+3bNtGtO8aIe9HforJBuWjVfOINUojewyya11sIzfG5CckZHpMo6KPJ/ZKsG1aHYCO9dZg8bakM
1B0uIra6OdGQcHJ3Jm4YkRHVr6/9kVKxT+ZH5fQQqvkm5o/hXHHUFP6ILk+H0aOyIaVsIAxhep95
+6fEDWmkTlp/BAYqHcTEWpwiMqZ3vpt1ZSAIipJ7hdMzAvJi1R8Yp+IXiBomxkxPiyujK8UqQPEw
mBXhQpmRTYq5FGrfZpMuibnudXG3bFOn61oS6zGV9MPcuPd8ElNwOhoLvfXXoigRAwFVa6FEby3+
Ta0VVLzWUl1iD/spstyt0yTDdqhidWkWQm0gmGfR1pz76kL6dXs1V6BiRNHIi7FWceVYQAe2Iesx
JabKm2pfbvVb9fdWCMZzVTC0imasKfumNOprG1rgfCPKQaj6ygST79WBT1fRg31CN4YB7BiX9b2d
NXF1QgYrOUVaaIJLtErghzYc8qEch/RzaZWW0vMoVhg82NsCsIl1GTqOkZtFjuoR1HAybZWh/foF
CLNq4OB0gtoYUfKmFWyp9J+06rauGXXV1cqvAtxMEts3XAikK6e5wgmde3NhXI8OTP4gZO542+Ec
uB7LPsaMX06vlGsIhbNugu1GtTefdDSDzQUlVCLwz921H0TfjD6z4AC26eXMyXdaIqM/irZQ+zJK
kvtEE+4RxM2Inrtqw4InO2Q73Fj1nPRbRsPDROunHsfrZUmGZoswwwqqmG9zWxPtJylhjRaRr4HK
9x52fdIFLQcwdaOXYrrNO0cc2kwNoNysaOaOswlHShWRG7mhklsDPBBN1zDMY46dzOi2NL2nj2bS
Veh+dAPzUXQPcDLS5eIPxlcD1x3PFLNrTXRTOju3fWV1iBsb1GKIlefqow4RF268eYifFtKwAQuF
dVse+D9prPtG2fdHVqL5EQEio1zM3z2I5zw33UPOMZbc5zS0cPDV7W90T5+dAb6ylTjd8kiDd6yP
E5r3itwItOBebciz1XXiZglT80JCOs9jaPtpsUujtZQi3XqTzU16WLTlXaWGN9PamIhUvNZyInnE
6splyytlB3q03WpLDqnt+K6qfVRTgpiLbV2MmvTxvTXE+RZPkXmuXI7ZlpeSPWVwmoi3dqzR6y12
shUWdA80rCg7vrSopF9T0RvPVpuPnzqhx3ZHHrnNs2brcQsM2NoV0jX6EzA9tEjWkHY7N8Z7deYH
7IGY0RrmrWO6NYci11ug3tqdwSEhmG3OX9DH5twGugSYLDChkXGAcNuIpIIRKh76M2YBYV9MUb+p
nGKwbwjvG4hDK8P8Sc6R9YKA9oPNLYwku9PoGvxSmEfae+pC6r3cRvSPt72JHkn5pRI70r/NXW4Q
8k1beNIPJZ2V27wwB1DwrSrkDS2x6mbpYUIdvKayPja9/ohEhqY/RFHUxzIh1CoYR9FDCh9TTajb
mhC3zLJ7gKuMQIaGqo4u2GTDFj6Ync/LfCys76GJ9luEYtOxatwiNJL/raf+I8zQOvmkAvr3I97H
aviXFM/ff/H3qgqKJ2wbCUeClCmOKOvU9keKJ8Y4XMdUSUCHKHj+mPWC6rRB6uNq9xENKgp29oc+
/n//xzZ/IQ0JmySZRMCmJb/0N6K/wc++K6owYcFyERLrkG+CRFpHwT/YLn0BOisMG+Ns23K8UP+R
0QBu7lTkS7ZjhtltBXzrByt3abdjP9/JcfZPnvTIBciq6WlmB2Sp4dmTTe+B1BQjMss0LQPC94Dd
0HreZX30ENXW0c7AT4R2mwe2Xb5MQ3aPJAF9DhGxxOatByI31QFPj0/UZEmDzc54dhs7Nx/7EmZu
XZsqoLVT3NrT2D1RDHGAVL29pXOVfxMG1YZnPfPA/AYCp8HtMlxmYrkf0sp1Ds3k2EheaYg/JOky
XIGPbM6zisd+oxmOHkaUi9s0L+mATq46FZFmsUyX/spuQ7KCu8HiSFutcjgu523rGqbeTPYcbkfE
bkg5dWPFCA7L+biIVuxEbaM7cRrnWrTekVX8oRZSbazelzdFJs94LIptqn2miR7LRxZnAH0bpmQI
UEH0+gzBvBJpahNl2LmmJogQqwV8WcV5IYhkrxxDUXGmxBZWITodG9+6NiMN+azk+Em3XmOZyZfH
ximb7TTHL/4szeepcNyTttX4qZSVuYk75kditqrwtm5nU+zyKk5aP2CUK8V5LJEWPpatlWUDAzMk
uMQ5aon/tcoHY9kPCNEoPsqqWwLgiva4YarXwK5n/3torNK79SNfGFDhGnKO23lspkNhdkQxKUcf
GAeXJfMpW93pokQEoHrRU2IiM+433tJZxKBHAJdVRtJ1KnWS7YxsMbIN8MwCMwxglltjpjg0tkah
NQBaNqwFzFr1O3UNwwf6ig1/aEWy1d8BbSos+xXXtqLb2u8YN7+rkpXqhvyIbgz64aw4lE3lIbS3
1EJ2zB7yuhiWg73Ubf/gd7M5u8+TGDrxaIwzBf7O8NO88MF24qs197QBPE20R+ZWjtA3U0KkfbOH
t4dKT+ZCfqi8Wl8m3SzkBadlY66DVPj5mRFRjkog8oExdMQdJfNovMSZk2TsuKqY2S8KfZNJIRib
+M03Z4ka9mmM0w9lHhs1gRlOQ35wVscvoVNmxa3BwAZ1NTv13TJOLsE9hpqIq6aQZK5NJu7VnMr4
iETNIAISfEUwecP82JJ6GEEkapFvJDm+Lqdxrc9NbJtbIhuju4a0hDsk0N4O/1AdED9RTgfeAAWH
6Jwdnkex04gpj8lM3erSlHuhZtLDRjUS45VN7y7fYHVoT2aahqfYc0PiYhQuAafrFbVxr52tNGSP
lkCWiq8cFOgmdax+pjMVm9AWuv5hGFV533jIpVVjb2IYAHd+OkZPYV7rc53XpgO8MFo+/bfBUPZJ
P/9Fg8ECesc+9O83xKdfSwxY3a+//thj+P23ft8NPfmLiyoY4vv3Te33ndAXv7AmYY0GPEe3gP/+
Yye03F9cj/ras00BiWvd7/7YCi37FzbItfMAQw74CA7zv7EV2m9Z8D8Y1sHeAcUB8AfOgV4FML+f
t0I1t0RbTE55MsaMKdAB8TupxLvQmJBF9AXqHjYoZU7XvTnPQYGxYcuY3zqoKFTHprCxhDhhV+xW
hsxt19juk85EtoN1Um6jyIVBMbVUtpGrP7JeNc12Rkb56kelPJm1yIPBdyaU6REN/FB9G8q6PyGu
jg5OUkKaITgukGEWg/eFhDaPgkkawAhSpHyNAjtuiiAvPZS1KUcNu26817LtitPAwrgXibsfOpLD
RD+KYEyT6A6lkncsSSt/Mgm8xXDe2eSR0JSpPqJbbw7maCxX3Zj77POm637h6FUj9SnqvKGqjaKb
qp3pa6e9d00ku3hAzmBuy1xdxkH6NyIFoOwVUfSZ4A203VY2Hhc1YC5KGuI4sHkcWlbi45SAOWqt
+VLVFXNaMpYIJ2cnXIZR3pXKv4rKjImazu4ND1WYotG8kfPk7XJOp5sha5zHVliYDxtbBGKx7Ws/
1d1p6BbjCNdfXtlZbFzlHSqozGw4TXK42HapqG4aN1bxrsFVkm6maXiSxBXtTCTt11FYOAdIpcXe
bNCxiaVbLvVodjcqMcIN2vgn0D/665wN7q6b0D+FKusuCzgQBlxuvnfhYG2NWs8PdpKqL0Oog7qc
P4sCKZusrfSImt88UPyFL6OXVHsWQPcbx/hsvhlmM71BfJtxwq51HGjdFzvGxeM2YYB37Ny23RPB
lGxn6HzY1hxzrR7QrBBE98Vry+m3aJr9/bIyl4MGe+CO54a+2DyhdEJE8hwPkgmFruZXw0XVxOzd
ETdGlY1nnAOgD+h2xZvEh8FYo0fagEBFFbNkAD+EW97hnqtuyOJ4jrVR9xvDspsjDuXsoqvGuPJo
39yZRUv4TZO42Apym5NLIo1CHQdjSOY95mgCg3w27gzihJ6uOP3s09LkILTo1tojh/UCUzY01xht
Fcd58MiEZ6wTbUybIysSGEjR+G5Hk/gasoU7iUhFm0txjzno6Dt09uKhbG5a13zFyaHC64ZxVHyu
Zf7BTVr1UFQOHX5PGqcuGezQPOS9ldLQGP2p9L8uNqL0XRTOC5ul7u7RC3oFPC7Cpq7tkkmR1w/P
jI2t+9ZDEjHsICI/QX9Kd347yF2Ul/4VKkITcSP+CPRpdEEeasTbKYE9mKnBqFPMPJuYjzOGcSKj
YbItXVURE8fErDNo8qVIBVgoue7FWC/70E1Ll4iVKBSflriZ+kCAyr1tZlWoD9QZZsPMllTlC9in
IfyGKaILnGTxN6xw7Ii2Ye/EUD1y5zrZxgPlPqEYsSVO5HFNyhG9n35RRjgbR68cyRR3KoQAm8ob
BpTob9mEoY45Ik9R4b+8xWZmcCO4UwSiSxjBvRg3hDPr+7JX9rfZJn/5YIaadgQKIoWi0UioHnpJ
O3ZXOhkvuZBJRqtNY0oDA0C/CYUUUnkxYYtk7eO43Wd0XTamj05jW6A6xFiDv7S6U95sVi5TtSa2
+nOWT47YVtUIFllpFe2wsLl3UDb13iGPeydEDiOndbjGgYv44YkIXvNM3Y5lLavahulW4U+HFFbo
DUZOzEUJhn9gAeHWyXLUaeZgqQMTvPiAJ9w7VGhg7kszv14iWuhIo5zqWsdOfA7rWu2rqbdjlNie
WtsMCaz4oRzoeKSueeWp9uAYJVQCr6fMlJGb7NoICugecZ94VHmd7lyzg+puTY7BWKQsb1U8VA/e
qNzb3m3GTw521nlDdPt5Jshvkzet3Gbajg592y/dBrUOhPgCzd/XZm6+sEe1t0jW3f2k1r7NmFAv
mqIRj5Abwj25nt4ziQ3dxaZ3wOZQ5qc8Ut0dJlXCrFCdX42Mg74uHFnvkYNsO0W6OUtneMQCIj5m
SibbDqXdp1E2SP/70KyPqdPoMyap5Qb6icf0VeOpnOb0c2xa8sppKsQdkd73RgnhoBdLGvQwPalV
R0Qm+K2Xe3pIKfmW/qHLy/oZkFYP7XEcDpLh6MEZC4fGroTpvXQ06iYOKnfK9p1022rTOycWS7zP
3GBbt4SbTLz+o4a5uTFXbkSE6u2eZhFA8CXOdvjNowMZ8+S3dtlIITrZMUvjYn+0rIYArtHx69fR
M/sbzjry13Ewq70D1HGHMFoe3a6xEFfxeqZfRdsaTcQeF1BNLGGf32Zial4QMDQ3A1aoewcz0LWn
ZBkscZleZ7FODhwUwZ1VuHUcM3dXvdDnxrOTa8xk8YewGsRtGEpgi2nnUgkUyEQHjxCEqrDQ/2na
iUHCk3/vpEoffNNtX2FMkPGAiRVkQX9pwaMXG7vwXJRinU+LOl7OkrPrl6mLmk2tCwFhvRKnWEQf
QqYFgSwLQfGggM8Ys7VLUFt61N3EnpWh2Nl4YG5IrhFny+g41bD7k5RmICpZU+EJPZX9s2GiYCIx
gSi/jU3OpG9MDPpH7XKUBEEULMTqYKmNzB7xsGcqdyMyV0b8NYEO0/J4qNux32LacV5NjVVa23EK
iUCkrARtCwGZp8qdY/WIHNsjNY2g0SSKnzp3rpPLf+v7/6i+h+VLcf3v6/vn/jX+qbT//gt/jA/f
8pwEM0Lh0lKyVvbNH40uSVwN5gTIOox+mR/SZPqj0UU+FI4H+WZ0+L3FZak1wgYHAt0oxuXrSPFv
1PVvnKkfynps2j6HEAv6D2Ax332Pfq7IJ4yr2Ztv/HIxlgztRj3PKMYmNrQCwy6QDcIMxyiqz52D
5VnOMxZWKpj7ucFJ0zY0xM2aIN90QOxWIMN8iDF43xc8+ZRQVa4Twp8wdYphXI5F4drhRDMDJxGB
iD6AT/s5DjXakiPxCOiSkcXRy0I1Ytz5aA+KK7oObUfzQMrKo3Ol5mQ4Ti6dg/EUqYHm8ClU2khJ
LPaa8bEeuciPRkmdsavt2LR3UTqR78C1tC3GYJSbgpdl0asFAr1idVZgp6IN1hZ2EQxER2ExLuJD
o0w4tVPphk9lYTKTYGABGwG+Zb4MxpcpLhJs43YL6RYlDjUeIw3dNqeFsc8+rsLhlXR6NMJdQeUL
OQcoDWU/EmYM3MRp4Iszy6uUueLqF2FyCy1gmsTYnJGo4GdfczH0bRxlo3HCPTfN24z+x/xozBJF
0VZEWRrtQ7t2sEibzB2HwxiKqm+O5CiGcl2HsrHJ9IObi6RFLtdVnH42hWPiUzz9d0X4j1aENdbp
z1aED69dzOGz/1lWwHB+/bU/1gXp/uLDgXP/aIHz8P+xLiAr+K40eJMN/LEkrAlWRLuvyC5Y3zgJ
/3HiJ8HKsR1pgeA3oWvRof87K8PPqhe66Pir6DGxMNBfMOlJ/HzeZ/7eDAYa+Usx5sUSlIkeLi3x
5Mh/p6b7/MOF+Rf6n/WP/XMVensxpBWIJCB9u3zcd9ysyNE2psXevsQGIIHSrkzCL0b/JUt6ymG0
OfWnSCjc3yM0y//FS+PnYm1exwZrB+XHFn9iZFL3oPgub07Z0m8Z0GFLZ5tGjUgV7mkKegbgqys2
XP2Zf/7y65//+ZMrE7+iABDr88W9f3nTSqKS9qh1yQsDQYRnjMw1BbLBmiCW9eU0rpK/gA++A4+v
l5sX5VaBqchkQ73n/ZV1GQ5R7ZsXcoRNJgUwGszCXTCp0wR6ectMtpPVwjnIAc1I3A/9N7cmuTo3
XK5D4yJCr1UElaozVoLQspA3DPq0awBSj0KexzrEGJusVBsUjZKjis5LYpD//Nqt05f3186laUsQ
A3sne9jPX503weLRBJRc5GBwrwy5fdL5kOm9R6zV05tLXGd/iQH8GZb4/eK5q58QqRYv/B4o5xpC
pRrF8yWVo3wqcQmzWZTxbyLVzYWhvH5w7FregpoGqPSWw/rnn/p/Ppjkq3lrrgCBQIJp18+fevT9
FYuv5QXkln5I1gdm9mGHRGMj/0KUJllM3l9hSyJHwwzEC9KY//m1wln1pRCDvNg4nx+MOibeeEzk
6vawrO4bChv7FbvB+nSuZudaTTwsBqU3KiQME3//g1u0Oa218rH+x11r2kblNyIUl4ExShPYmE6q
a5PW44jQMfP/Fw/J2orlueQfhFUrKPSH2R9Cd0Ad1mhyZKB6L+cYsz6HNBJ1lSDdvQUMw+ykOpOf
x13ukw19S5aQRtiaSlr1ktCgs+GSFR9h4mbaBFn2us9Gfyd7qqc4Zt7DX015yhyvpN3jM0XJ939+
yd6YlO8eEYULnq4tWwUl0LtHJM2jcPBmX15C2orNflFEcb/dN/TO6k9tCwID4QZL7swFLPDo7KJk
yQkCm/3mWM8FDYcEeVZ+WKYFQ74kv/6b1yKs//P3+S9WQfDS9L2FzZtFCvrztTY0cgA3tOUF7z8X
5O0yyzW0VopQPhEg/ld3NlXyz3e2i43X9hg70zSnN/3+FYs+MlORzR1uIKs6O33hvCLXWv9joTcZ
IKDdt5ZLBHqYhKT4ijGFFjjRP3xMhrVRQ5xh/82qRu50wQogDB6CBGLTNXrZ6vx2iVCYsHlxwiYE
flTVecZLDMwsgfGl+EDLPFTnP7+MfIL3H4tPwvdsceeaoA7fY2UXL/OxTc3RBYHOHPj1vLTbVBnp
Ha2+uT+WYzxO6HjGtN+aDloj2h9FGO99JF3wOtZjRzDrmnI7Jd5GFL3aj2/CoxhDkgxKGRFSQLcs
XBCtLD5693gynqE+RJB5YeS19BZWLRMMqZjZuCl4MtJV6MQWsGqeUiKrba8uL8OqhvK6Ir02C6+6
HdNQ0RKvWoEpF4PoRzmr7E5Wc/5VMG3Y5tQB0KvmBQLGrMf420y0rHvVz3G5TXr27yvhO4j3Gyut
78E10TjTb6Ite9VvOQpY1mZUyqhfhjJPCaYIlXrElhALgCVIJDetOTYIUpwITRRyzhk6Um96Xxoj
b8nsK7o+O0IX6JH/DwPMEJOAdeMUEo9ybUZAqxBGhleCYczjPI0S6pm98sWMCTUEc7m+dOhAmEwn
yN6u63sVFXkb0ICJwy2CeP8lige23Yx7RM0Dj5xbzf6uKWIadZQG/k4x6uPdVY7z2gFKTILSY7Wh
BGQhHmt2gQ5qCFZa1QHXCK3SwKcc5rSSJIq0ay9TGUbwUMYS5dzyXUdHRiWiOpwTzTVyN6R20Xfd
Xb1aMuwoiW/HzO+/eiVjWjpEsTiIJG23vlVEt62J/rr1CQVrqvrTJMTykRzC5Mpc/SDAbM0viP8q
Oq3gHpRvhnuOUtVn2i3OR/p6jB3fvCWryyQaVsPJsnpPxMDXE8RQYQ+0VJxtITGocGMVAlsFHnu8
K/NqYwEC/c1uhBtoTlo4Nd/8LiMIR8wv5XcnzIiUzOcGyOdKbQu1cmo2PeInzLQb1Cahyf9KcwKL
ESARhYsBb8UAI7ZFH+TXH414ZJxb+Fla4nwCp+ftDbEWPwuZ5VWWcaXxWVdnEXkUQ6zg9iv+K4VM
MufwvClIp3zWRsc3Noc9m8I8gxQZFdS2jV+xViQzdyXaROJtgIY2/A1apvUnnwEAp0S5EsWTtDIC
gTYC2BtkDnpDHV99NrJkJ3Z0GZS39MGCGfQ1dCaSCBNBvdrn8F7SYnJeNZT7l8mExNEtsX1yVzGc
YbMOKbvgkN7GDfAdnlDsVYXFn58bhzfHiaM6U9aFL4NLcFY2F9U5KwEWNsJZf6jK/eu+p2f9/9k7
k+26jWxNv0vN4YU2AAxqUKcnD0lJJEVLmmBRooS+C7QRT19fHNlZEu20btY471p5005RBBAI7NjN
39C7CpOEfm6MyYPjGLm3FJWTgU40iQ8AEP4HHZZos6IV5z9L19BDx8rjJyT6jHcMIQgxccBdpT3S
KzHSUfd/IPosIuolRpLDRTdJwCEaFr08JW00vPSxWUrTon8cgJwgXm/utp4mWuRe769vW9JOF92o
3FBBTC5SVijxvmnqUp7SdHbuwPY6dzO6X2flLs7j7KD85LoAMqaccsMzupE0kzmex7Vbdspkj8pl
7Z1a8VB8klypzJCuy1s2Q2H+aZbGkDEtyD7tcg6eIWHHe5ouw0tXcdr2cdp/LJBXwuEvH9T9JVHQ
Zd+o64th/KWhx8CfV9tzM7RrC9RZqxB0I2LwV8yO7Dua99ZWtAkdTqg27Q3biHd3Ubls2p6DZ2jl
aUi4I7uwScLbFlnqwCm7j6gEcJqr0rXkPkHX/lkM2mi1tEK1V/0gufOZv4MMGz2G9aa3JEIqlwQH
Kd8YVdkCSaBL8XOxj1cFKMldFeBHs/UttBA3OAGaAUigopusDvxnLDJldeTY4QY7l+HnJrIgS2F1
7CSfKyvj4s3lE3KSoFgPMz0T0iBOHkCry7vIX4YXCGe8ow7ZPnfkX+PU4QBu/IDY1ppSpaT3cnQU
onSEAe9K8KbvGugsVzxOe/bQPrrP1YSFJ+aC3O085Si+LJy4o9meQVM5d3ZacDKVeExh1ziTrvpR
oabbbkmt7FRnCTWgI0A8blBNjKCH8X83YGLYwKCLWLPRieKndcbnoigjFNrH3s6PDC3ZI1VWBc9Z
TS9nA/KJ578EgbLy1nvUtViVilHKDSBx76qP+cI6YS5fL2O0LcxXX41O97Fw2vaMHJI8ke73J+Tv
eKu5OwC/5SBnHRZS0BiV2ScrQ45pVal4ltHI92pXNTP2XFtAsQK+eCkH7uSyE/0VWfHzkhMCAocc
fe9IbCjJafFFehuvMFyuota8oKL3CU1um/SnWtJrz0e9gsakHB32WowkRegFkgO5zL0elF0EaDLi
1utaETVAXFCG+GvkPC5IJqBc6SoHNiV2ECh15XH3UaTAz7a9s6D6ZZ6Qk4gceRBEIIl14fFS8MJW
6j5qx+MTTSlRc0K3vVkoaR+nnv+xBfTg7UeTpWnoAtX3jPFybCpts6O6ygINHGU8uw66+KZxI/RU
J7feSXQW7y+rJgE9xbticSq9k+Z2MsFTlDkqc9008r02WRrfVCWqerZWKGCHnvZAClTIoQY081/6
vOTjcn1o4mDFZOBtMrY8k1DajPdZnggPemrYn1QeVPU+iKcquF/lYrREmXHqrSXt4NlfTWThp+On
xoz9KliiV2XfWnC642ipruF48rdhCbv9g2O7C1skKVlobQ6XvLjEvtXF3btNHYI8qUhqSnIfocct
45D2fFmA77HIFO6QqIgLJrDKNOTEuezdJDVQ3nXESnsNc/VZcgy9u+xP352SY0Ej4Dg3vV/ehlPE
FonsSZ78oJyvs1QxD/m+Ieqljr512OEitC5neUIlLoay1gXPKWI3j5ddIdaSj6J0E+dOIDB2dPrG
uQO7xCKUA4LZW9E0TgNKriESKY0xDjq3NCFkUOR6k5sHspaa3ZdLZKikv/BnikQI/UXHde7QjwRB
Z4JDkAksyBwUDqJtmPScMBhMeIe2Y9NMRUu093LnDa5JQNQzzaa2LaOPNi4E7UsEBJBZ1kxdQhYb
oTBzfDOhBAYSLnw25gBC7jf1ENnu5pGg0KZyTg4IQCJ22Uzmbotp5DPzesV1006t9ziFSLHpKNVA
fCkSvyDluZEShzhj0J4oP/hyxWmZXAjkuhPl62mc5iZ7g6kSA+jGIJ+lbfyGA6T70CXMW3a77SRa
Po7BRBKSWmX8dJkXN8zied4wRmJxcsOHKVrrNwwBcV5PrG0ZF8MpgMSzCRHjOy9lWnxLPXAjoQsI
xROU1Nu59fiAV45HRnicSEZGeotoyxiToSjxVBaKdc47XmgbLHo9WlMBP7/B8IYZZ4sb4QyBj+lf
cev5g+NsOTXrKyr79dQ4wD6MDkxzm7Re+y1eK/IF4a4EQ5JM6BaDCw0H5eXRvu5N8L8usMHQ2zjL
yKlQgaeCwQ73ympdujA0vCZc8pLFekgLl9cj0XinUxU7LJIXIAtLB3DZRN5CwJEm+PczOU5tUro+
iyCKo8SI/WVvbScz0rgUymVFlF28mE81znrE6G3J7SU6pNnktuQHzDK40/VymCTMaz/S/W/Lry05
JqdL3MX7wpzhDsPhpyRK2EGXwjC106a7RtGsI+SNxLRWrBgu0E+T2F638U0ep/6VIcbcpWsQPzko
q724WkUwnUv/ihqM99oIl/NTFhxuU50SrbTI3ceZK28vcRMfE6P+x4G5v0xq3Mrkm12CXmoto7ze
QQ4hRq9+9/Eib9qOxD3Z8wmNFWCDPLHKa6sNDqgHc99at5xA1HbZyQ2y/Ks/C3s4B93EFzcacExQ
9vGN9T3D6OmRGAHCumwi/yoMER+8omBbx9NAfQPBapLHFszwAW02N6JWGYNnu9TOIyZj7ZknJirR
52FJQugS9JoSl0qiFhwsAkQpGt+22Ok+RC4aebw7qVMTDi4pc2DX30QK+JguWW0f0FlHo12o0T1w
5ewRWMr6fs2E0YlQ+fsOO/ndwBdCdKba0QcORFzYQlHbLmyJznorL5QV0mnoK5701pObBtaXqfOC
lwJP9K8VWeU3hlwD6fZSQUIXykXNCD15x3BhKsOKMRaacjddyDJ9j+n8Hvnx/jrw1vwuN5SatBD5
73U3pg9oA87rdqqBx5SGgqOiQN3FXpe8z6yw/IK2N78puLB18gtzBxlRKtYKcVhMmUdbgumIZ/Ff
TOf/jOSA1wtdv38/8/09H760zZD/xBv1vv+tPwY8kfjt0iZm6ItZZhTbtL7+xHW6v7GhoYdCZoho
1pje/59THoa8kUfmQEvIxyvlBzdlQ3HAeZl+hrEopDX5H+E6XzfeEMajl8pACQ9C1/nL+JfBRFZO
nJTfk01ZO+vbwGGuq5Ui6o2S0ueHBXr7vfX4owfM310QNgdzHtN3w5Hl505fyVN3blcHZ+yBox08
+vyoTfdaVFF/QjHjV42+130+84Cwa1kvxit4ebzqLMaFQEmPcRk6Kpl4xpPMubskq0Mw/4on/rr3
xqV41YwEGEjA9n1tbyOzJUun0vHPpanB85BRFbgYQhNsQaKqpiYPy4J4ZQq1f17Vv3nK7ywa8AWM
0V5bEy19OSsb1frz4NKWbqLOtOGDxsDkUtKof76Y83oqwIOyA2HEwKmmnfO6ybi2COSGa+6fl5Zh
HiUgGQkqnjbJ8DyGnBYNbbjsGhgv5Y6SFMnEwJayZcXwHbmf5le9+r8+vmB+JwSN3FCESN7+vKnA
6FPnpol/jhafx41rNABsxmnH/89rgclg8MoWZuO82lBp4dkVCAcfWs9CP8G3kLEf6/V+Mmn1Py+0
+RZ+bN4DuKZvH/lBEAJZsl9PenB5NMfP5J/nJPs2uFAeKGD+06nK5SIMeC//TZR69UHS2PbD0a38
sy5pXBfRTDETic7aOuTev5p2OmZ1Xj+S54aOC9yEJXw9UIoSULIapY9z4eYk15cBipNYZN+VHLqP
UV9SEQnFR2oGTiobvSvcwbzvkIV/a2D9NzsYNz3CHqJ4/ANJxs8bJnEdN0lEiRo69CIkJRrHmI6T
GnXWwA6l8Kn3ZemSqys9Mcm8fLyBmYASQX41gf673ev7XuyDuCNYvR5FlFUMZLrs+Hhn6sZLnro0
zAaoZH7lYPh3l0IgJGKCxtHylzk7qv2U2GHvnfOA5Y3jlE8Wjj+hPhK8/X/evj+HesK379vMDjFL
dLncX7YvyuqgjPsOuxZ6BBr0nGTO5NHo0guNSmM+FP0qMv0cgs0ljUmAzRHMp2MEEX5+r12p8VB0
QMbbCZ0EP0JkfTPIARwM9N37HJ/nen+pBrKITh8EbbqhTA/OodWQzgMz70/awJouEeR7q0dpuimb
JAMvD/uItsw/L1JwQVj9v0/C+BvDRDBDbCAdHiCzVwEFnE/hr7XnXw+VjSSXxvOlzYV1SJ0BV4PW
rhUzRYoF2SJoX3RK7I1+yjtJc6XeQxSn8sSBgxeZBOn4or0avScwirjaXKpalxlGtiMzpAsTOJR5
QGzpA16KngpJiBM+POOLNJ20EJk8CQEAb5jFLfqPo5laRanvob/OAm4U9d5bYIn0EhHIiJ9GDex1
m6Ek55ycAc01+IaZXHZ1nIlyW8k88YxmNtYKVdNzDdOgEkNGb7bHunTjz0gzI/9OU27IWnZIh1Lg
R3r2oz5apNzi+jKbG8a0pg8vnSa7LqtsfGGK1H8MO5x1rmsnV/dORNZiuaNFrwdJr/yTo2JeGaqm
oiw3C/2hJ6Sf2XtjKZ7RnWa3++hDPysnpkHuIGq7ETON25o26ReEzN3T3If9vRRjfQwWyt4wT2Hv
EX8hby4oD8DmNA0Gy6PQoafBzA+dza23+ut9xbjwCVH2/HgZkF9Gx5cKddQu64NKX3g/DKl+cmda
y11s2gEXsJ2zyuGlrFPX3QhokHs9JOghRVAXnqZO8VPA0L2rOGn4LbUpu/XIuoH7pyy7nHINJzWI
XYHovaozWZxgg4MEVWFoCtVM+EwmGqXD68wkJpcZ/aX5bheucY1QYt1XNlZLlBc0SJFYYteUoBCf
Q1GymijAdcjvt5FCUNWYJl1fSkmL/tZwHPyZEbG7GgCIF2DBtUdUEMP6NuP7a+3U+LPpCBMMi8HX
TmFLFEHMjOhchMB6cdq4YNqdxmMvz5R8T4MNVP8IoSAyWNr1bedEnEUj5Lf1AHudpIOZGvV9B0j+
VoeVxug+Z4Q7t33wLJimAdlpJB7vgP/lQ+pp94R7MpwINxX+p2aem8dI5+q26udq1w9riwubRV/v
4OS2vM7R0r1KKzNKGKp1BQWo22lnD4mgO6dRNYWQ1ZSbECLnXYR80Ln2s7YDchfH2zwYaPQz9kDD
TitcvewA6/es665L24B82ZOITcArfkfLKGqQaJ1qGgZy/IYxMgwDF6eGGNuehjlnAVpxKolMW226
uovdAb8eAXx8QJNKDgeoDeILSEIw6HAVbxh1yvRggBzQGDCS3sGabI5zO7V3EP+cBbLIkH1KzQQO
+Hh3i9aIODKHSM4oTOA1GQ2LwOYLQQZoiRrboKW9Rtk9VSC+fP2pQfZwD6kGdztn5jVGQH2Q/lya
T+ivhuOO2fKwK20ZHk0yOhjOL16HBmKw78kBNwDF6wPw5tEEJqYArZ3cT7T8roCzdFeFzIaDCib1
NUnbZZ9ZuQU9ua0/5BgFbivVjBvEOUp600bVsZTPMJv5Pmh04+ZWZ9tpls4B7yp+EbLT/srAEm55
0rYbGFSZsxMh86dxS5ci9BDgBdyTtubNdygCO3F0Aoevgl2DPRiO5QkX8itkCf0J9c6o7Qba8gMm
I62y9m7dTu+7UvTddm6Gw4QqGJ1i+0sVDu0HlMdcKEIYwg0WdrnIo9pHvC/wdQAsj3QN4f1G+P2y
6VKbNxqCQrih/9C8BfLVvQVex6a20Asany9jAwujnmEzmNHOvu1GtzjjPUqC7WL41W+JtuNLKm0C
Uqtj51HZmi1rj0yyJGq06T6a1gA4e56tNFRRiGWGzChObxn9tx9RslzfXjpeoarkaRxizuMIzxVm
GK7fnrEBM7/NWTGp/Y7DAylBYmbAvtZKHYXaMymcmGnczB1OqEiRBWhvrz64sMvwqevYtqhFIlTG
IK6pPrptn5LPZfBsHK91W8gF2dDVn4Iii7pvqpt9M1ockz2uxsO+KfzlK5iUHpvf0gp+R4QlvkJr
czhV6P3hd7mm+YSQYZF9HubxuaCtug9QJE23yBP2w4dKW5P1kOM+5Z0iN4vuZrplW1FBlc6WpT+h
n6kPKjJ0ijhF3i8O/eX9HMj6nhHFN7fSH1bXd96Uo0vjCo2cauvG0Jr8qXNf0jFLX3SeLw/pFPLm
+OKLfU9fNmYUEWIxN2e54axXQ3iNLAbu3etSQV0fBHF8W8IFWE4IpdiwwVp12w/ILQm95mji1OXk
bARvAVtv+glPVgM1ew+NoLpdpfTfaPA5b+AJT/c1Bmpb43z9xZ+tCh857X1uYzGfR9FpOnKJm4vN
EHn5FueObLNMeomxy60IF3ES7Io68q+BK3xOOmt5WMa0BEc32bcyT4NP5SIQx5RVFnNWGuEcetjp
XUzT7FaumI9Y8YKYUoY3+bObL925DoEpNHkwnZFlsJKNPw61PDqEvAMysFAbQVG6ySb3AWsfMrCA
j6LsutOMZPRDh8rzja0m/W7MkC2K53T5OFVjP+3tYfDz6zVf12ALyQNzoChZovJOrDS4j3E2DSeq
XOsGIb72PUBnN0YpYUJI3bVCG7VaNs/dwgn/DQm34XbquvmIw4U6N8VQVzs0xxO69g7lRUZwO5Y+
yGlGyh3D1nQO53epOy8Qlook6NiXlfxYrqMHnbAKbtbcJYx6torhbKCKtezg9k0JPJHWvR1DhZsW
CConQlkSWfWS6Pu1dcWUHGKr18wC6O/6Pta3KEfo0zCF+f1QO/37yVHDU1Qpfz+vgPF1sTIVCdH4
9FGiclAfL8Kdh+ZqDtlVZy8AdDiHRhsp1cTCE2Dns1RvZ02dAr08lFuM4PI34MPW97ZcLHgqI2CK
3Ou9Q2R5MtyABA0O/RBCrW3dPMadg737DVWf9fcu8sYvCFuGL4tAiOVgM+jFLbRymLoUbRXKTRLR
t0e4pc93MgPNdArH7luQrenboQBWsNH5MF57y4riV9siswC7p1cQYKSE1dbIN1bFXNi1RTLu4tSw
WbVaVxBFLcqHweSP0bmcbKa46DF8yJhXA6tJdfGGvjDKzkhQVm8QeqzwA0GHC+Cwx1uraCD5wPQX
DEye1gyXGv87Xve/Anq/4rcLumQ/lDZ/8fT4HXwQaPefKDDf/86fUHcbngve4uBWjZgiQnr/6oQ6
xvADQGzk/UvQ5c9GaAADxnb/pZHnUfH9qfViY+tBr4vOD/Btw4T5T+DuP/daaEUiQOlQhAcOyGga
rKZy/gHtmUwLIu5Jv9xN9Us6VLus+vzDavxN4/NnsPJfL/CqNJWrV9XdygWigsCJxccUP6MimccM
aV/++VKXxtAPJSVtMLQIYQF4Hhy/v8IplYPrckCafFsEFbU3qamF9o1AAzhyYYV/Goo1jb7AUolG
cF2dO1j4UIHqyJtrEIB9Wr+A7IpQ+EgnP0N+/5jI1AwjmulrTsKb1zeTRFPKPwP91VfVEBeJhA1j
q7MApJs8qn480OAJroexcN4WfYvxr4L118AbbbCVjjwZjBt3FtYybJbZi8cdE/I+Kx/67/YgTIap
PXfcRI3MFDOVYdNM7rWkWHuvwHifKzxYIM5BpsFX+rsbSoiwyi5Yhb6L0OxdPlktDB9IM3W+ockj
t4huQgHykfbX5wJLcOthAajkN3tvTpMY7NkIX39NjiGF63C8vJH/Ro1fRA2DRv1h7/4laPyf6vnz
c80I4fs85urlf/+v73/lz+mJ/5uZcDiQQqjiBWSUf8WMKPoNmyGXPnRkWjqXVuIfQcMjaPA2iSeQ
AgTtFb7FP9lz9m8uww462ALKje3F/xFH5lXQ4OMSKARwF0Qol8LqVRuxcDrXHzzfOsWWBdeTmbg+
TbE/PP6wJn8TOn7u2gWXy5geEYwcz47+0q3UzoA6kJ6t06BBvpVtrXbeZEdv6mXGhOyfr/WqaWeu
FTsOgQO6NInFxeH+hzjIuyjoc3jJSTlt/IbBpXH7c7xrX9uU4dgeZ7+4IByXn3rC5vFIDmFFml63
Q/fOjBt+uOTKpLN3QomorpIJWE+AAzetnNBHbi0wrxiWAJGl/e+hHTSls0esqAp1BN2BcVofpPgx
zzP6m9MKnKQzA/G4XWkXqFhinYca/00fD/GxT9L4uGj6gjUBZYvElPEhdOp3FR1YmC1yfA8yv7mO
Z9kdrKSGCKhwZ0SUL2h2Rrj0qHobNEM6qH1PevsOSUX9NQbngQiRL5/wfr21J5VT1VXNduoq+6Rd
r7ylPSqibVZ40zt3wFZPe7p9o72leO8CqcVJN6kOQZ81poMx483dLCe7TQh+unePEbIDG9mrZe9k
a7dBkGE4gwZu72QXLWAqS+/ZrlJsFcTS7zQWNacefmG68dc4EbCJsNUeQGVhQ1Gv74ANZhOa2Au+
2zLyD/bgyo/Yt8TYcq+ZDDHpDr9bdsdMMzHwRlazOIQojTS4zbHPtyRnyIHbXt18niSYVdBH0e+Y
9Ln3cWrHeO7ZQ/xSRAOa5k6Mvc6mdlWLt0qRA1UA5ALINPIynAQrI53e+NUbdAgAJQs/bW/CaZnO
amqWp0jpCl3aHBNtt2LvFTqFOZ0XWBt7zj15pL1NDCol62NURhxbfqzDdj60qz0e8FkhM19bUb/g
AJUdsyb7omTRYQQTBec0jqZu4+ggq/cDi5MB8rvtIbj9juCc9c5rcn1j6wR1DyhE5ZVA9sFClqVI
sANsrQdf5MFVAovhNC/NsPdUXt7QP51IGcT4uXRox+51qkWzt8Y8vmYJhl2WiC/9WG0XB90BkI7g
AkP02DzcUs0EIrHGdQOm+H0M+olN2lVHC1c9LAvrdTusmAe3LvItcUIxF3bjuWDM54HUQpWTeVjx
zOAIkXwr/ORhjLLLACDs11D098lSuTfoQr4N1mVxNoh9+Wxtvp41cOdbcCS4gDkY+eKlcwikNd6W
bqM/j2urtrzZ4DMGyuUblCXcXanH8b4PRmvbjNF938f5HvPiD9YkvTtXIzcFLn+4s0Kt9xSFy0PT
xNhMOvF8UHjlNEv9e0gjxj3lZbRQ4Y80ANSXRuSli+PwNLU7zB+BwiJP18EA1kOBEE5al8FeuHiO
bFWF7fQNSDi1XlUxzcR6m6GgRQlgIV/1hI4qYHt0TqZhAaditYhLqHkoHv0/uPBOsUbz8hiqMdvH
zhCmNAWNY4uVlLhdBGBIwXVF2MwssxbhhxUviQi0SOki8xct0AdoeKvoMBRDjo5WWo8CWAlyrPdz
GfCTGJbPGG33ckL0uEZl5m0qrBQZik70Q3aOKcwwhBmSJfjodtkEQsNujJ3TInHvfSqmxaICW4mR
L0jy8qKyMRut6xLPgEk+lBhF1v2RRnX5EXfN8iGewb7S8SEMt3WIS689Vk8hCiUS+zMXE5NlEliD
rjP+lSjBLLiCWFl8DIAzXi8uli8OtfTJrSGxbdZS5QoIFJ0jN2sBNg9gjUG/JCJ5UDhtfcEgOkFK
zWm6g18aLDJkbhr2fgM6ZQLuDMyluc5X4M5jPelmW/cJZoxWBH6q901DKJxD5+AwWdqRUyG3g+Pc
thlsXD8tldW8gST+tEr+qUf54kHT9cXLtrGMMfC81O9Wz++++gJSDTdivC5NW6rDR0fvJpFW2V6q
pb2K8Fx4gy+ceCaF5P68anYOyRDW8C9gPmzLqObe4OfwZ4E14t0ZyerJs0e6XyXwgB0Sqe1DWmfM
AQbSCMrsthQo3ybV7r9Z4P+EKQ3lnqHWv4fRkAUO5ask0PyNPwtHN/4N/F6E4WII/w/AwZ9JIDUk
+qEUiEARMKCDmPMvBE3o/Abbih+HIxXAGDSjwD9ywIA/CgCgUG16zO8RY/hPCkdDuP5xpM3tgCsN
fAcsBM+J5NrP6QuC26rGhtT/ivVFV3zjLEk8e4cqmtWPu3EsXPUEDS8fD4OiBAQ3qoLgy4oKX3Pj
tAHyhIfOMv6pJXJbnJVNnOCKuokq1FDeSxvVbQKy3wmNVUmyprO1nb0ZK/utV01KezsQwIP7xmHM
Q0smRf9oeQ9fF1x7xeEMcdFnGOZi8DYBMTgimJb3nI4cpbHcVsuKcNihmYuhgyQwZAmdrx9e5N+k
rq8H/gw1Yw9gUcR/KK/c16uDHYwD1E8HX7thmcHy1WmYYajBGUZqhBN7zCVXJ2/qbz1Or+oRKdiY
W3OJlDxP4yzp+v6fb8l9hUEQcRjGDuw/7CYYhcevwTIhA6+6HWT6gtpkUN52tIzLa+1PTBZQaRT5
glBCmENUgenRRROstRVuFk6ZXVs+t+ugevKkiYbvNYf5gFu2TlI97XS18ir2I1NRMkIpEmvdC4ge
4k5rRCmzfU1lgEyPndLvi3+RRf9cifiMvM0eBBCOLEgMpMz9eRNiY0vzmB77VxunKvEQNLnV3tdV
0uq3/7x6fFE/7nYu5HkBDRKSfjjIXO/nCylibKwZQrxg3+o63r4DjO6j+m/zha9eWPhvcPIJjNir
CCpr3OJjHM73nLRN8e2f7+TnssE8MlIKtC0cVNrw5RBmSX4oGxx0ye14LcTLPEQSM9ZOFeNI/9yC
OnxNPqYD8YtFFtHrayIEHKLIwwrQKfkrazRIl07Wk2w/oywPOmpTRGrUbwexykhvtCI5mY/xwBT2
zvKSvFW7oUHMl8RJKMUOiJH4Vl8mDpzimxgwRDHfNEyAZTM7PsK833cVwucsWbBOqfgwpDHjo+1c
hyUPNzOF6uhIS2SvGLiBpRmTDYwNs++sIcu4oEt7JHqXZN24ftTKxMUNJtwJzBG0RD12LmxV0RcH
1+8DhZlmtuSmrvOL+qtYkFNxEOFNBv02whYh+NCAAtdPUjOdZ2TTFTE6bw7SXR/ACnVFs5/EWukn
PXrh/DjLXsz3tJYqfhY5p5klycDgr+3OzdCMQBnRM0ORbYEoLRuEJBssPuPhosjSA0xO0SBHuxQu
PynQdeFHchEONZbx85qN78YlrPlCVb8W7KtBoguvEGyPubSVL7FpOHuLuRo6KZ24A7ad9x/7KA/m
U8J8Or+tfIDpx8UZ1uac9Zaarqd1Qup/i4ueZOlQAnPUOcLvhghgJ6MJBGgO09g/oYY8Di5mYU1X
lqc/HgDPloxHReQ8FsXOthOLBQ3sxlVn5IWNHE6FpZJV79G2FfwXWF9VF9uhKxnA//E7+q4HTeHl
SZBnW7YcSuaYjuqANZjwMODSawfI4hoRYp4p/b6qKASCjIAB0E38wLKMWXndVHKyqq2TISkMxoUu
V8FADQoKhBAVMmTaOSnaEsmmjUc+Ra9sGzYN4opFfd+MQRuGh8Iz+hSwEwpXNpu5iRkIIm8J40wB
bsC96RujZTzmDmM6guO8tnC6Q1KtXmfWsF0Z3FdodtGcTB6iCqBksUPUEjbcVUIZBaQb3xBzIBXO
6vFnSnAE8hBFDIH1tveSuUn3rSXNew/dOefupIbMVe9RIzb7V8Lw499IrXtvvsYSy+e3tLhL8ClA
O4j4NysdIZ9A5m1Hbknx9PyPy1SYe/HjjGbRVoQhn6ACaMZO8TTm06eZtgu3VzBPM4dRMmNOfjeg
DBB8QAaRf9nGngq5rcLHy6Da9nPNCk7rMrGcOoK8SH7Lueaf6B8y4DqktjBb1OQL82MXNfx/RkEV
H3CICxiidYMGor/3l5zvXEmlTfDI4Es+F70nzSft08Fod7iKIO8G14jDkAFu53jzI/60LqvAkKQb
1GlebWYttzO9Xn5hLwdAQVuK5cnsai/P5bjrylg7wWmNqmCFC24/xhkeyvPOAUtlIlNWoSV2YGh3
AAKfYq84lir17R17GwRIOtudfhsotbL9o4FWnL+Pa2qxZkdTohV3IgjmUm4y6hBEA0VSePmb1oHO
hI9xMZk3zEwdQc6Dy7eMmFE+ABMFUSD7ETfXtRoGazmXpOvcIzhA3k3vo/sZPDeDA3qLNk2h0vYB
QFbiN3ft0MaIdwo795dqTyAm3OyZaRUKckI3tXGMZImIVoTUXTFmePoVU5DScC4Js+KLRkEQhhTB
VvHMiKGWmqJAZmuWpTdli/5niIoTzSI2T16YkBKOi+q7Q6kSsy/taR3YQ4mX92V6bo1GTnfoXaQg
ofMHHqFy6GEiA7steR/NZoVSNPV34Cpwt0XLs594Sw3Ufc6CVtULvwtFCxMFQRHE7Fw775JxPthj
t/CT5GU9fzbKxMSl0saU5R0UJHPMZSATCE+dv9JDP4+IS4u7mVXkW3DccWBDzTg5wPHk7fcqOEcw
BP1TVA2aG0egdOLSvsP0n1YXFXXxbVZd2Ho4DcPpGPYYO0sWYRynnu24MsFu4WFFUhEfVIS/65vV
VhL6CiEq8E9dj0xItoe/jwKAxtuB69tUX+pLHeELevtHckXUN4uztL3XxseSFhY01TQrFs+6mgrc
x0CeYqK365OlSfDrmRIs7PqVh8fCriLaG10e7hhvaYtVwicm5MMuEMRi80Q5ul7wur9v6zpfzJ/B
tEZ9f6vz1WQDojXOLlvsWDi0HJQcWWMvlLidIy1Qpeirh1aa8+X6YFtCBx9BeNl3Lgo9BSPzEkwT
oDJHiU8wWiv5YNdr9Ri7bozKrZQgpq5F082QmNp56r4gC4ZvgExryzdmfSHuK02X95/oJQE7KMOm
rV6w29YS2VVscp4XDNeXNxpzcip3qwIqB8lk6fDBhUQHU73HsQbKzLLggnIne0TT2g08ldq5gRAK
pIFZzuxse96RJMivUa8LTuFZ+usWbt/M0sxaLgqqJHAPN96ALVbjx9h1Jv9BYGLop9sCft9qIWXi
qgRzOpjnTsI+TdLxasw4yaptqKtF612cV8j4HxJXU+rTRkjwGR/LW5QAnO4w4ztKj7a2Vv2YFnQW
OPjEGF4P9BTwvvVH19kqhwiH42o6DvEOfBwmonYYMqRJgyrF1dwbmf3Yiz4nuIvYR2dxMiwwu9UB
BoRHlM4RCvAC621HM9x/Pw09hjcMskKU5Pdxa6/r4zqu3nhrAYyy7tF5HfTTCBkJXxQphHyvQ3Dx
Le1UEUpjjRrAX9/YM2TmHdJsVXlM8hF2lW79qAaRULbG5TmUesC4yqmLqHnJEL2b110pRtXTBA68
adpOITrNYHOGgLHamDR9gOpjaQeVOCaoO4k7eP5WiZmCYORWZV/x0TaOB9s2Qje53TnBqLTYA//z
ELGVLg9TvG3bWvBd2gofRecewm0LmGZpc3OgdrVXd8H7RQVd5++6ZJEJRG4bcbjypOYwIBtL7IUP
Rq7K5JpwhWhiHaExzeZYiQkkfNx9ZNJH7BNnPofMFybC1YFtMkzEhRIkUQumbCmas97QLdFZ96lF
Soqm9szRQyO14JQBjpe6+gjakN8JJqo12R9sJnPvYQGUnPoSNT8a7VNf5+ID9k3walB8htYUH7E2
ooDqpj4gTAbD4M6PERbKnXv03YAseLHJ3axtrJaOWFZEuTk0UB5PcIf0aohS+9lphPZOse9WpET4
xnvEFPyMbB6UvAR29zYIamkCYl25nNELgx1SEwRdRhYII0ZzcoJIXLlTmWYh154QbG31w+wHQGi3
LfIw/DIb0ye+pf/L3nksx41ta/pVbvQcFfBm0INOIC2TJqUkRWqCICkR3gMb5un725TUVaTupbrm
J+JEnWLRALntMr/prKrl/el8ynMyMx2s0hBN0TzeqAzrTmsfvdaT8aoXCk4bvR9a+wnUUVlBckyd
8hhVqeBa7OtaxlJl7ciQJfZ6OUZIytm99oL+GrI8wZhrYgDHDD5S1agBh1h14yEMIba45AyfZYj0
msPaiA1yS/28waBcMI5Zpco0zPZG+faaESoMJPCT1Ku2c1KQdGBWwcByzNAUrf2hU/CR3f0aiaVh
C62G2liISFG54i9WVEALM8i0csbml4BILkU0V1luVjGF1j1qPSTUP6aRC1PT7mzowv3ZbUIIzhsD
PBFzNID00iiII3E4xjcL9JHQexAZoMpsF9d2VIx7KES2OKOUKKNYTGJlRt22g0jifY2VCH9L7Wm/
YBquY3qFLYbdsFgKihDa5CcjUMQ+MGFqEjjroYzmBR4YrbVT66gT7s3Sx3qVHG3gJLzPvJhyHxhG
q/JRRUaQec6RfWeLNEUjs3iYe/xAKEwZqGlYGt0nDb0HbFPCIaFX0+gOwLQg+nG7xkJEXJpDRc0b
O02jJgq0jVbGm70t12OYpymRtcoIpC/h4pR8wX+XP01U0i43Y+46XJdazHvpfhw7MjSkMhnJYN6o
5dv+2B5ZT0n/nA9jxaS2HQdfcTQm2tpfhTtG9MOgA4Aioj7LWsgR2yYmSDdma8q1m5e6V14WoxYh
MRvlnasNB/5AYRDUjtXM3A6KKHhWubR8BLUWNLzwqpWhtYeOhPgEdidpH0UL0rtYgVmvew6XeTSN
ozlqfYa3lqWzzuBUyiQQmB4ZG7BCOSGd6RFekngyz/1sLfOFgWwJMALHmyfAWrrRZI8i1iYGJfwR
+XSRKog1uspt+bTJ5GUEBj8zYncpPQKDKYoQ+VyXUWPwVUTO0q7RjlGmZ0MMDTb3WKSrPsInMemI
iNuoQ+Dbro3hbC/4aSm+MmqMP4VzmXSjsiSjMGjZMsl3vFYG8hGgQnEOuzBi1nrcsgjX8TpeAAC3
wqJg7nhYXd8x6vLEXbSGnHffAC3DnZr8geVkWzyeekW4yKOy5ky2dzXOL3QpSmdi6e/oiNMomTOX
OOrH1itFLkOrXClgt6LaAhGrCXohOrkwyrHmNUGdznJJOqo7lteqOSG0yoAsMuO2PKVnIEfNkVuc
bDmqL216UFKLakyjbRiXiDzCRV66PdBRLd+5dAi7lotNMYkPAJ0Kjk7AxxV/xjP7lrMqbUoZiUpc
B+fM+CNrREwA1Om+AXbMIUXAP9h+N4yczmsvEjIL/JFY5OEiX7papnGOfHbZTBG+dxcyXlO4KQud
JIk2pT/GZcmUJtogX31ALw3ndGRPw75fozZtoktQUxzhB5eZFQWRQR5YPdOoYBSQdUmCAbmSdAvl
ztgos0ejmmSGjlmNPDkwiZCBbqFlclX+uzoVNSNwCLAPqVI7aC6+q5jhJwADwcvHpynsZZ4pAMXH
eNwip59j+zi0fN4/PPJ9NVA+kvQUfTOg8C6B09vSGK6Cpav2dCQte5Ql6R9LI8fOgavr40/3+6Mk
AEOHW0kVXMIT3j5KR9AKFI5RPQHtlOcTbvUG2kgThzVn18fPeq9m52ia5B0agODhq/5eau9UDYkl
et5Pk1Ggk3UxxIXOSrRQl2cbxtBXuQsXu+LQGBCMoZ89iLxxcx/oNHk3VQhZrvVIeeXZ8+Nk/lnQ
LdtIpgilY+F3dKSBOvLVx6//21AZgEQIbDVQKRqYEfn9fxQsJ1wasRB1rMc+0SbegwtKpoVcrqRQ
/+5R4OwoXkrTGO21WvluzSnUehwwmsZzPjSytNXMtZx6TpqQq/7jZ71FjMg6LC0Wk5mhNO8CGnm3
2HQE8rM6sfRvkxZhCvqdVAr3031YD+ziCEIGJ08+23K3ffzg9+P5yolExw/tbFQwXfvd0kNnqGtR
OeieJ9WTx2Lq5K74FOqK3NEfP+odRkV+SFR6qV3ZECRpM6nvBjStKi0bhV5863LTwrIjgYlzm+s9
3RTMXiO83K8nbwnV4lgliMara0vElAPSzpHnW5HTukE+Ig0L74QrmWOYfiykXUKGTpw77zgaTWKQ
j1/6t4mxXNywAIkzO+rv3G7Ny1woOWr5jFRhy1ugbEukIbSZyOVnWhEWAt2HPw3W7xMDqwUmG1xk
He7f+wZLqGA9XLeW8rRYSKognuFYlPOoH9QxZmWakZP97CjoZ84jqpry6mzaVsYi5IwEMkmxjFxh
qHIs/RP+P6m3MVC7mC8s5FP+eKj8VtI3GG4skmw6QRDu368iMo5EL8k1Hr0YOdl5F85I8t1piyNv
EzuMUOD/w/i8b6GAcdIwc4Inzh7Vf4NztU1nuBG74hGBcrlue3TBlpshIQj6FOloIs1B6JEaE3fP
fP091x21vSYwKKw/8GDfTxRdUwvlXNlV5WZCTPbtiTSW/SRGLzK+Ur6jyoK6BwVdF7wPW/bjtfh+
lHVEBvi0Brx4hw7S+yWRkUO5hpZqX/HDc7LLvs5lFStJKWrscCyTCdbHD3wLt+UoQpiXDg1NXosO
H5XWtx+tT92Fe3duv7YlfSKgAtjUEBEQP8zMa9g2WPWhuoSiiec7mYWK0Z9Op98G1+a8h9MJpRfh
B4DPb9+Agkqca7VTYgynzlG5ppeFaSQFwtjDWfY1whdtLLNIdL5lqPOzf6QgGkAmXtg9KI/9+GNw
CkBojBEbaubCqwAwk1gvOeQVg5Ab88EucI0e6MUq0bKeo9YZLRlXCkRGRQWWQZUOLAYXOWF77wzU
WTUQKCN2HhnV7LVL3qv3+4TWsotnXqbINKQDRsO9qkgBPzouUAKZM3AUpAFOZ8houEajlddyfvSy
OrJgbhmI0zK/SAEXy0hU12ReGab4/FDghPjC+LtR2lLE18UEZeYiLjF4PHw8/78tOGQAgIvikOBB
3fptaQ8k4bGCbNdDFTcGR2tU97Ja4C29DJZ/dnc+fqTcLX+jrllyRCXe68mHrgWKwe+AAFw/c990
7vjgRcBZjfWQYNd9iSqInilXaqfyBpJVNlBvmCCdMBEweOXbfPwa7z85JGJ412jKgONkz722v/8R
ZpR2U47MZfyQVXQKDknR9sWtno16e9S7/g8K0e8XOaBU0JsUVW2ESlAqeLfIbewGkrjuuq+iQQXq
DtcVuSzgisok5OPPJekG/xxf/jqa1yhRo/BACAXm/+2GisZJzfNS6LclmlBuEFLp76MNggwJRaEk
HQmkVjS8C/7PobbJupwshLaoa1golNV0QKhWUh2Q/ft6xPqKkttiypw2ibgScTxjV0BEjmUFeFJk
xcztUUyL98K1ZUcFNBY/LZAv4MMpmUXYFkWwgDlWBAq4FCA0kGzNXlE4R/MNDMfIvPx4EN6NN2OA
Z42hsk9NvAF+i0MsKN5eYSNiNBSpDGLDiq4emKuxosj08aMkteLteHOAWbDTORO4Fn8j049VTftB
M8Oza1avzxosugwZvhLyauKo5wj60XvPAekwCuVUyobCz69aMchimgLK3rq3CFO4uimb1Jx0eoE8
7bhXshSj1GPHVrVp9tZFNm4R+KS2sM7KkEpSgvgiGfzPHjmNVdlvVRDpZO8srrrwPVEVcsIXK+Up
ymvM6fyo4sG5ku0QxYrlTKYaAf64ciAqM+99m8gezM9uMzuStZvSHuTeC0MKgnCotWKkWvjxkLpv
p89x8FxyAIsDWLK4C3/TuW74BMJV6/A5F4Zzn7aQmDc6SIKdnbm1STssxg3dnLyL2U3yMKhNXAAL
PcvvBBKveIm5Qwm+ALNuD0giDnRx39yGlHo6iJydiP3YFeAsvfRU0JV+lqxMuO0taoc+bU/7Wlhh
dRHj9X7JjRQvUs9UZIHSpcaXhehMHMJ2TC3UIj3VREfYyu6URcEruMcmbvQ7r70xuZVQrUVd8dKZ
WxH09dysiTTzu5jIGE0znYZaWvdUvqtspNvda/lXchHrAhUDMNnD0qgaFLbWOevcz491XGk4Ird2
TLUv6rqtnpbleXSM4S4xjBgclKqYZaBQ4n7IBvj6uVK3n20To03KuMMOO/B0Q0dtrgGngsPwQSPC
ohzMQhzg4q370YPR68Zp+mVAQIYGU4h3Gxp/1XlJgZ6SqSkwSYHv+3j0nMx+Vp/0ue++QtfFmWaw
Bj+e8HDOnC5Zm8mc/En+4c0eY0GQpHGYWYQKUufpPZymolLqAGEvvzFf6GHq8PvXdl71OOG0qn37
h+X33zzMASgnr3liuPcRSbiYhHatV35DvqgAIzSpZ7CdercqiuxSmHjV+1NUFSe66eAmP372byv/
9WOC1aG7ySH+Hgc2WJ1XgZIvvjVlSY0HGRCo/IWhAXz7+EGvf+nva/h1SE1dB6ODowgX8vt6y6QX
mS7IQL9pY8WeMXSui1VFbSAB5J47n0q9CKUUiAKQPbe8GhGaOsm3OPHYCBT1wL4A69nXrd16h1Jp
nFvuWzjnlOB7LJEIXvS+LBA/7TXzhHpO+VIM6LqXdDJOQp/1L15KSWelVZpaY0sdXRvIYcQrxSls
Cp0ZbWsNDYmd2nrzt7SKerpuQ7vRIkt9VKGX+gvz94dY6B0IjyGRYQBhEOOC7I7+PiTQFKebTED1
38xBDn6cGPHWwAh6Ny3TY6l5+YOheFMw6BH9wQbRoR0YX1gPH8+MJS/oNzPjSLCmhE7BqOcafxcg
aVlY0GmLnW/RQI+NynObrSYXHk+Ac9rSB8Ispp1T9NOwSpS6oDFaFbuKEu+lqG2cyCE2KNeLFpk7
Y5mpMWM9/rVIaD35baZcYqbsHGdj3pZGYZxpF+TXlcKkrWx6yLO/9BMdyrTqQt+pPecTYaOoNqOZ
vMx2mlwZDqKHqBdYuySq6uvC6nPpuNYNT3MeD7eo22QnpYS8sLInbdwYeg+22oArfR5xgUUFpUHB
WMST5q1EH9Etc9ImpWfInfjZtBT3mMSz+UWjARSu6M9Z0x+W/dtknylmbPHoJQa1yWad9zJOA90T
5t0JEaU1rSsFIfy7OjFmkNpNqV5po0SMfzyd2lvg6+sjiQ1IcWBhAcF77xAEbTNvC67O7+g/mAcq
zJCRwmFWLqjppxt6dj0nPYr632oks+6SaOqPSeKpJ0V4xubjd3kVyXm7tAg1OT517PFA4r4HA7Y4
t3duhANzNNGLI2+vwq9Vu8QiaIoZxXkV3uNqKCp0ORHcjOcgjW1rFwOHDSgpeh7q2jirB20FAyDp
cyG7JHSbSqWLLzM76XaNYUxX9hCjX4Bjl7lCtEEfVx0aIa9eYsWA56Vb+WDNrXqrMCybNOuVS3hP
0mxsdJTjq/LNjJRGGaRWUm+ikdvbrzQoJAWICCJKA7U23CtzjN/FmAJ3AB9wZwlSU2KR7nOvT+U+
LnKjRR8WZBkrkc6qj4Nyd2N4SQk6gTrVRPOfFmxv53nko21ZX461h/FgldQ2uFpXr7S9lAhptypC
mV/6tkru4dz0L2aCJBc89xQM/8ez8/v545jkCSCuKUMxP++PZEMHNJBNY/YdCyYVoYXRS58ARM00
2Jkycirn29INIXQb5WkW6Yiuri3qP1Hb/rsFi7wgYbMBchVS4btyB6DCDhdQJ/8ewgAbgtcJsZch
zo9JbvdILwnv3LTlsEEZJVzXXjg9xG6LW2uM/ej5D2Py32xY15RtGI4O6f6nc1j+I01bimEUWDen
3yNHtT83ttZ9wvhCCRx6IBfci8PVkDf9oUbQbp9PhnbZlw4XmZPDW0gwtACQXI7imCiD8QJyvrFW
LnrUn//wlm9zALnHIeYZUPN0MNMkle+GDHOQufAac/hOg6iJboksrM6n6D6vBnTFr3RbZLRfu8V2
A7e1qpcYrVdkTvA8HbeGU3V3lpdHR9UZs1u9NQeaidwCGyz9coY7Sh3fbEBG/Fhv/2Hbnuf6+//+
X4/fINoHiCe0yXP/hjqLgNw/5vd3tm2L41b5lmjx+iu/iBbSpNKkd0CWQrDwSv78ZUaHSSWhm3TN
oaOEiinL9RfbVhpS8ltAsyi2SEus/8e0MGBa6EhS8udkKVpz/w3RgiD1TfxgqVRpeS+s56V8gEkL
6O2WKRqn66bMHtHWrYGukZ6PwCVASFl2pV5UtXD1gnAK/bBhm+lFXqhfeiJRjWyyLrqzXpj90q5k
F0tf56zBekyhKGFG4X5OgG5B4fOHtKTH6NfoIpcb0xiR1oHONqMVM450EsnXdAwU24HCjcBZuB9K
hJTKfE4xcxYJKZmHu83RCtPpwIUi1H0Ke/1yRlLoDPq6JqC075WuEtuxEk7kqwjQ49JbH1MJFSnI
ZrSVZWX6Ocb8u/QTlHLAYxVStY2DyFuPFBtGyFQL5Fg7x/hlyRAuU2udM5v8R1wmakyzW49ldEIC
jnCXh75+vi1xtN4C+8ndwPKqZG8XUeNceXTLASTPmBc0ioJWkl3P/bZvMzGQZlNAiQsz29VkhZt0
aR263yDf0Lc3pTJVIUIcza2wfAAjCTTJBm2GrDPOQnHXcZFF9azDYIzmhQolCm6p1Yj7vjXnu3Cp
QCNglFtPe7qjE2WM1uKDmqE66PfgIprjaGn5ttMx98aOW6wR5Gk0EDDtcaQTUwfcN+MayTq0w5Js
tPY20Mc7L8XBgrgMGRMKy0gQoMmvYpDDUg8USvvqqbGztQ7VrNgafR5y51sTJdK0d1ZJl6YKPOJC
OMBIzLbCjwZ/ZMLOYtdUIdKlkRjcjT6O43rs08pHqU2AWtd7HIvwq6ktX/YmX5wwUR8XS4OsZrEb
N5LEulZLc34sUODUN15bWNuhmurPqOzGF8DH8nsQ8NhMqdQrfNzL+10u4kgN9Na5LooZ4Widy6gF
8IvVKBVlFo02aWJNjNlssE2f1jEQxuvJamrYoy0otMaMDojyTc6qMooMcJ+Bfo0VD5BOU6Xa92Gq
73tscQKqp+FXdkNLZQHo0hPdIJR+5q4X2TbqG/2MquCwH9vC2eg5KdXKK8Pus2uKZxUgbSBmSsUh
gEPsh/M52RNrGEj2R+DB/ch2tWNhUxLIYst9kOTtLcB6O1xZ3KVaYAlkIDp4iEbQhc3ZAm961VDR
ecr7IgyGJprvBgpCu3CBAOkriuqlq1rBZFqg0Hk9V1N5hWdNCgW6ShGXAC8e+laXSbRMWN3aUdMD
ovTKfekl0Zcegu9ELS/MP2VmrfuAYOutQN2vr1zWoROa0CTNTD2BaRv8GeSgt6lKk/jOtcC/XdS1
m4LQ7evrtgi9TWer+fdSy2YMPLoKnyFsUARq/qsy7J8xjTMDPAFGH2MiEOE5sWVl6o8AHL5YeWv5
CPiRanlCd9osaIiPoxw1sCauB/tmRDQs4rGZZQ9z+59b8YdqxB9uRRq3JKL/M/vw1036X9XLf6Fy
MhRPyZsr8sfv/7wiHexaoXOgSSGXLJgHLrufV6Tj/IWojevRKybEJMjlevp1RbpI1Uh2lkepHACy
zbd+CVK46INTkeGbbDdd51v/ws4ZzZt/ptjQkiANIXwqdXyBAFAkf3tFzmj8k91M6g56A2fUC9oA
19Mc7lMXC8ORYmKiHqDZrr1wuNcyLFGM7g9Zvvc2ZPzxCgiwoiHBZ9blpf8msK1Q3qhdN1J3VTtj
1m7ez16NAV62LguI0zpVF6S9Aq+OSroh4WVdR+mWfLZcj/qDKQBrxwHFFLQUFmWVVO6m98C5O0hS
ytPDtITkIQWKQABOrZ9RTuWHICWXlFiyr2mnr+W/ziaSWcl82y1AxArI/Mp6trwdphGYS+P3dkQL
r5yR4+srbrq2M0DYZmx9o7yb8UluWRO7yXZhLCGloBsX0TByR6QLBUIqqm7urhIXOS0rBdCMJMO6
y46mMpzyuBzWU4k+n+L1J9t70Axl3UXO4wLNYV2k2goHbt+0HaB4HkpXMdKQeSCmwm+H7NOkECQ0
Y7vOumKNo8hXZCzVbZIPN1HnXKRa+bSgdYEFid/YY74Fq+auxh6NT6Msn4vJVLcZfLTVrI7PpRkF
EXpdx7IbLewBar+2Ox62bJLMuI6KNPpR3vtPyP2Hw0VDMOqjw+X/tBlMlcfubZguf+eXwo33Fyor
SGKxWWhYv/EHMP+ikuHZNk6OFmRVz/z7QLH/AoENnowNT0kP+eC/DxRDesbz0xw2KODAGfs3BwqM
yrcnCj1E/kevAvAVDS3rfWUFWoPOnYknkZW7rg/tFfZB2YvtEsbTIY8aa4fmAnDWCnPMbzhkOUcL
w1DiVU0bP1XVoJIp1soj8onqZcbpAY42NM42tzY+h7VdBlFnOldxLrpPcyqSM3DufJsB8t0XtFG/
VviAQWV20gPco3U/d80TXel0B3MZMVS6flMLhq5entUaDd4kjGy6+1Omf6axnh28Mi8vQsfIt4PR
rcAvlpeVpUPoysMiUNIiPmiiG/dlUiBUWeBZEuhK5ByKZqixHcmn66p2822du95x7iKB3Zk96ScA
vt4VRCz1UpsT9ZKaI9LDojKaDcWPfAvuOrrXvMS70pTsRpvs4RLB8fOizjQcbbgS+Ch5CjostfFC
hQ5lxmJGq0UDEOS3dGtvPOgR+Mc6sFNMa8I0jzBsa7GLv40kABujNSAmJtisoRKe3TZmajerKTfT
bV1M6c7r+j4YzbHAkXPWaMDow5fKTcLrfojHU18lyzN47/m+bAfjFGWgj4w5ba9sI51OoHqwXtH1
ZNOEaDmqk908FcYwBZDznE0tcrF1tIyPEaHUZ2ZlvkP6EFNMnNS+KZ4hPZngCnr1hV5Ge1PitYcE
PkumVmXQWeElMufFXnGVfZ45WYBFELor8Ea3TSOsl8hLq1WX9slFb5vj1la9EFvquLgBjLMQOitp
dgC9ESprg97NRQ2J6y6aE+/BaexiTaJVH8LaHj/XYmzOXmgmlws9ncuxU+GDIVaSfAl7szumg5p/
Niuz3hYUVL3VCNNkZ025A987N4zTMjvJZRSZaIM6Tp6vUGOhaYBKNVFy37iEE4Y42sBSbzwMtA6U
8O3QTxczfx6mqb4KbTvfzdNgXNigXLZFbScPg+sk902NcVGJteWpgH+0m7imr1RFGBf6aFW7dqii
6x5jyHO6GJhXFl2+L5Rhj1X3GBJ4W+6V3tT6Qwna5bKJzGyf0EvdpdgOFigPdzml7Ni6zuvxQo9H
k+WItLei9mtKlv0jOCOUFOcp09Z6HTqPjTF+txq8mSJEV1cFJC6MBkNzQxPQDWan1O8MM3ueR6OO
fCUy9QfHLc+VMCC4dfW8XdRSPeGnYUNxwyzvYCngKsk0XfUqFjS8/FGxm8cubNMbJ8oaOEcEC89J
6MbbUvBL0ZLkt26iFmgZQH/Fz6q4SCMmccSTa28PuR3A1Sk+O0bXP1HLEy0S0doZWsSe8Ng+VGOz
BeIKUN52UPtM8jQ7AQLJP1lhvrPnsT/Y4VLuzayogq4estXAYfnQV16yd6wi3MxIYAZU0yZpLJp+
qjvUG5apqXwjo2a/xDM6w7WV3cN5mm4dopFTjeovlrA1Vdc2zvSAel19o7TTZszt5qJpASv7nrex
+rTYht2oXoLPzbdNfhJhKO4VCT3JbEM7pWpk4H3lqigKjxTQSlW0z0Y/8yZwLkd1craVNk5rkeNp
TmZnuPe9AwNxVavYMq9GZ64A4s/R9dJV2VaZ8BdZzbPl+K2YbA/BpxG31nAmCCLkWCFbjYK254lb
tDURKMvxpKJ6EDUcc7RcVl7dqhek1mhBl6G61jTlPkUC3l1FEalWknuIxNjQOj0gjX6uJF9Q8FH3
udqpa5LWZqWnWfWU2zE8rSr2Tlbh2vuus4jJpGnwKemVLHCc0gcQ3z3aWA5uU+pIN2pnFygDFIZ6
JdxK9d2wWKAXubm9hnaANRq3xtVixvEXVKqSY7GIr+B27B034oLfaieuushE4pQi+bFL7dLvZ8U7
4gnW3vSoDF6mkJ7ulDDJryg81GsUcqON5lVRsOhxvba6xvhCb1rf2SjmrtvQrTbxlOrfFycacLL0
6kfTaOTlMizmPfX25BbKmshXKBaBREy9aDvA1oUYF42+ooXxjYbHM8Lw1AtE1Eyf1YGhL2NrCea5
r9fdpLsXLipoKe3FKr5GJGFkoZHtewqwOGZ2gDgVGcO2TKZeEjbr2xzPvYQ4dw23brnJhGGuawEV
dzX36pLCyCjNlRVNG7upxJUmIv3g0Un+OjZ6FowAM6G4ct0mbPGLjlrsDgw3dMGsab2HzLaToChH
9T4P0VzjZAKr2+vBrNvWzTKkynMNHPZQ966ygdTcXSPOke8tUwk3qHR1p3we3VtQkeFGUxv1cywS
lcc5oeLPs2JvDKoRV+3cPJXdMj+ry8DxTz90gQ48mdF2MkYtWGgnrRCdvMDJSqevV7bJRHemGiEN
SnkBNeFES9STLE1w96dpdB4sAhH89BpcrUv0Ik9N1OS7CrO0BJtNB53/pWvpGzih27x4bZ3tRR7r
K3MalWOi45PglsUNsu/ZrreGB6u1iOurjmTARXTsKevtBwj4j2o4vMAufHDxoy21hcLDMgIsMJpi
35bOvIbkedabqD7UseOcRZ3pWOCN5TPydtMXmBwPrihthaWegLjNDjUkCHU41E3XiH5Lua5Z7EtC
rTKyV9gBoAyfwFQ31xJjdJx0ywmGcRrcm6bH5+u+s8OXIZkNl4LQyMQhmaTD1hULYr+Vuh1mop5t
EdfVZYKIQPVQc4ASe0lq9xRmmwYad3HA+hhHB0QVAoK87EKL5vIwtInzYM1W85V+YZTehLTFL5zY
0tozdqdxiNFxllN9nLpxgWwYoav5zY2nTrm1YHBZKNGJsFxVSpJhIeskRlAq6ryFjVNuhN19QWFr
hC0T5YFKYRG5L/PLpOjjzsZC0J+LHn37qpw2Xu4QTmLrl7TmkUwHTTpVqaxVhlr/neKgdkgsclsu
cb6OaSoduEGUz8jCR0fk0zQfXPB8RaGsuWqZzcPSUwqKk/HRzLz50Hq2ArdIGbZaOc1Ih8pwCxOA
YeVZRnuRJHuaEHBz5kBUYQ8tGjw28jvw+dCMRDfAPBULYvZpo0T7xYT+inlbeGgLPTn0anS0tTz3
VUerj2i79cEcOc3XwbDhD07WvE0akWzg+XtrJSLTbnETWI+hWdOYi2HK97ADfcQ93N1A3RZojY7L
BG53LyYeqbNfg6VH9BmpXO0bLgO2+6VTBzo/z4PpYI5zGzamBA2AxUyK/D8Vov+vChF6QBQp/ucK
Eczs8vtznzwPb9otP37tV2FI+0t2P9CHocH4Whn6uzBk/AUcGV8f+iOmhoonfY1f8sY6usdEmZSU
fyVrvwpDJvLGrmcjbmORe5EZ/jul0lf3sb875DwE3DX1AiDumFepWB+9LctY+kyqCW94V5WRhiJL
wr6CLgd5pr+f7ezJBcuyqqulx7t08nyU0brVNM3ZATXd2ld79+wKF0vIHKL3NORH4Zp4PCg2YWlr
UGJQOHxTKr/zYFJrJf6gfVKoAacltrgQ/Tc17si+Zw/grT39VCOzEdCsgJ5rutlaa5xpFWk8k00j
fIodPJP7JYDfcS9yjwsgqVZNXYHJt9InW6nVIC/48UzjPKSX0u5r0d5rWPECkhbGKgUqvS5C5w78
4afU0J5Ey+Mh3d3nVfLCFkJDsUJHHaD+SUOWAAIbn8eup36tts29DesA4QUULEeFj4f/uk5MXqqB
UJx927r7qIR5FnYMDZab66gvwCCm2QtQ32ll2wwl/MQuUBv+aC4YAhOFRz4Cw6C6+yLpuiBs+Smh
8g7g9Ij1QoBYmPxWOyxg602Vc4Dajc13M/M0ukO/lr+ZmijyJd6ATqIuA+mZIahzo19bvbacoio/
eXMu1nnHI3MYTReW2fD6o0FdrOGFjNrOAjqvt1nnEXOizxJwGr/MZVMBcWh13wpnQohspjxP5/Y5
zBWNcfDOFB77tVHmyCcg2ENjCAENs3dd+ObU7Fpssc44nGZIrZINgQlfNjVmF7vRZfSMjoeOlrN3
NeX8ukgQgifPMJsuqB3WgTYbp0K4MK9V7zySCft6xj8K1ToJVP39KMX2lEzB22iwXoMqKqaD4/U6
3QC5inp+lh7kVdJplNQraoCOAJJjh/bEMLGwaNdBLrGsK9bzC4xRog/alqt8TJ5gNTH3C18h8z8R
NyllMPYubBXIwn5RMEoYCKCehGz0pdp0ng8h8v51vosI/xZBWOz3I58XIQtP0kOZ+obAYrDd/KBq
0QubnFXNWQ4MkdXpOiyVSu4FmhTzbR7zJXzgJ0PjRdh5BFM1+jMDw0WX64z/WL8eG/aJ44zhYQRg
chmTkkCq6e4dBMpQtGGG3YHF5LIbXwcD+xZBDsaP1lnxVCCUu8ZOtTlAvLHWmBXB+s268DCTTH4q
urT2adenqxGVYd+AkL5BwkNft1DHg6I1GVJV8A5R3F24nTJtKbEgOtGECbKNi77OHDYlqeIxGdOS
u7ZilSHXCBKzzC5dnY1qqBwEGMvlhLNRvlbZJ8i+JicRW1ev28tA/GOnaoO+nkw6lAM9wVWFR/NK
hXiMeZGXHaJYLbcTMYyk+rMNM8A2r3ML1kayXsujjXsaRwhLoKwbzzdGxuZ1lS9OhqVW3Xpb0oZs
PcOw39A6zANkNmr/dQHIFc4WPyXmUm6NmWPME+xvc/GW3es09wNOEH3LMqK21K9FqoWPkN6UnRXz
USGZEiYOmrILPYPTy0qeCNyYAi17If8Frovc5Br/isQvjN5DBF0LD2o7lEcnUacra7K27pg+IT6C
3YEzlscw0zNMUNgRiJsou8hin1a0FY+zE3sbx2aRlYVRHpXO4+lIznD2FhQiORy0hYR4MnHHyDsi
qok/po3CNzvD9p1eNQIY8N2q0bt2P9pAsp0SH+QpKVRUhzFQUZAqxGdB43AbmbpXeYZw0E8xqDN4
zOW8rXsOE9jswke1GGKH4BVQDmMXIX+xw+CHf2C28+Ns0r1JX79uWpHYglqCcuZvxzdWy5JoLfOk
z1LKOVSwVCc/59oZWUzNVNNlS5i/KlcDoHXlcbLN6WpwshfSLIYGhyL/daxtz8qCrOBPDhrzapa0
eDG+6gIFSs4Ksh6yBbkS3uiE8wHM0Hzrhs0L/l4rpxhSBLDojUYJ54mp5MlGa9tnEMcWwC8arVXj
3BWVWa3/L3tnshzHkW3bf3nzkEXfXLM3ycgeiUQiQYIAJ2EgAEbfeLQe/vVvBShViXz3SlfzmqjK
SgUgGw/34+fsvXauJRdtGs7EJmUrC3zycU5JfWZGTh4G+NpZ32CwALlaSQ1yqCrU19wpynFFzJDt
bgLf6DQilNvsm5nVcs3FLgB/rJufnDgv1lhGCMie4244Ai3gK7T0KI5WUUzIyybTmS4mddpfktjG
jgYaraAVh8ufyf2c9/qGyWPbkfeeNEboCqERzDW8aH1dvwHyfrVTnRFHbMn8uy8sDYokLnVFkEcg
SaCp2noblDlUHNyBgjytrOWZz+xRW8ccRWvT8KNbmBZK2xYW3vVzbqI8Yqpqd+UeWkmvPQGLGsME
LndxipLAwtFObpAbijkX6dkZ8e1tYvCt2rUaKB8g9nz6Uyl2+VHB/DlQ9tdxE3XNYj5h4oROijbO
0r/+k46qCDRT2XVL+kg6cwtRyXcYcz5bkP8JPhSAMcJLQjv9W9/gz/qtj3oK9CydGq7Ti4Pul3oq
mG0Tdkgz7I3pY7PjGbTS/K2akDPBi/z+1++Sfv6fpLO//zW0WMwCDAaQv+rEyS7TbBQhw76YWSBL
JRDkNEJjGm8/5nf/meT8zSQH+dJfTnLW78XL9NK+/3mS8+Nn/rgBkDpAhCcWeBsJ6o8y/4/RsMPl
gIBnELbLXHgZGv8xGQ5+Y+lyO8A+zRWBzI5/D3IIOMAnzpzHxd2M+dj6J4Mc/Ni/LKHFmcZgCAU2
2E7mTL8s2DyjJjJUIPazOydP6HSqZu02FnoeCQA5lF5L8lsj5ktRw3UKi4SiSvcCCGw6YtYxrag5
LWU8RelQYpmocjdEzTu9y97VltM9o4/HYKKI+0sFaWCFSOqrrbU8iig5tlWMLGe29HgD95okEj7E
dB9Rkz1kPQeepJN5LjKHa7w/UDd6MBPtxTTYHl1DzykJONw1r4Buk7RiRcOlvZFQn0BgWbTopZPt
Jl6ciSTbbQ6eSqMDLMH+WgWxfWQU9DXzhPaUFiXnj6jclS1ktaPrEG+a5YLS+F1zpySbRCm7+9GP
3xyNnL4KcBcRZeY9z3q+DYI8IbzQYmpO9b8Ds/S9YapAHGDQQ/3BjrRxGjQ/puihwin+ejKa964l
9VXq9bcEsMF5MykyDP9TNA63BnCrFdFsD5NQxklyCNCgrQia9KflH1jJ5/Jk+80T3ADG4kYvwYLH
XymwD0vfb7UMK/I5/yocaj+vrh8AY6pnILD6usE6s8ZSNGyHJRwK+kXIEvwkrWgTeaiNcqIMeQmA
Nh1+dSCktQN2pN9ZuaZtkf/Aw+6C4rHmMvdoSIuaaKn8RRxZW6yPkkEIrqBEL793qrnorq1AbGrH
HqTFSw2z8FODsAybQUSandUUm4ky8FJMEP585SOq6cXdDHflyc79T26X1rtaEstgdDO9lSj3Ngox
6j4Qrr9BsPa5UI0mGCFMn2M7io828F6PEmVJYEDG8KrpaHZDT+jWfU9awLlMBXl/E8xRLieJUBum
8g+WZsgNtr02WZu1de2KHh2PHxHsYCWgZXhyVhn8T2J/tBHaqhTBrhUWbcS4MQwKhLnGQeb4q94f
3fpsGnK4wfrXw2NrNeezB6Xkxi5d/avNG1935EaEZUoCDjqnvK63ht9GLePHWb8BJ+j0h5o+OEK/
rJ+/a5WjtB25vHX0fQ686bYwCSxcxTBNqABTxN4c+DTLM+OHtvc/G/3fbPSGiVz1T6fv/yeT3b3X
bfyzBuj3n/ljZq//tmyjWDB1ExW5vTgnf9/pfec35pIAHBFOAxb4OZXm31u7DoEcpwYuQB+wJTP3
f6D5QS70686+HDb8Mt1FFQt2eCke/lQCBWZd+VHtF3u4As9TnshV3+X1hoLpCb3pQ0svtdIH8eSX
xhPKNGM7ePOWAvLYz56/UZowDxYz6ENXBGoFcts5BENe7JDvoLTUBPOVMWi/z9HoruvE4ybid/pJ
i4vmK0eOftVwPe3wCQ5rCzpg2PhpugUzxuw39q4cHP5lUim7UV/e4Eye+G3QzCxYUJtOMxk8THZ7
1Pt24SLdYc5Hddnb/Sor5KHtPHXvkH65rr3JC415Gj4RU5eH8SyjQ4LzeGVrxv2kLGdHTPAX1ybs
CY1msfPKIrnt9dS4ySxek05iwoXuUrtxmExeUDJj5iseB5rDg4UGdBa4QUpvfAH/T1PGGqd1S8f2
W8r5cZOTfsqJo0AiEkWxcxjvbWBnebuJCOtwsguScy3rDWCgtbUHM1qnuWsvvZUXE2BlCKrymAU5
2acp2t1MEVKjeli3WPQgTHrVtRTdtv8wQ2h30ZIgMmhC7hsrmFbSq41r0JjFUz86zRc2+m0ZTPec
BeU1R5GNccFvh1XmMwEJo6G4bUnEnTYmsTGhqET+NKg6vc+thPZJh63ZsiAnkT06tg9cBqIHqk3n
xs5n5a200sElD1iaMr5Jz21dTE94irq3gMSgR1kSkk6M3zBxifL8UzIGBKhMtGXEAG/am/AiV4WF
TrkwR2ffW37z7KUZMt/MG4vHKq9oRZEmucM0ZJztCpvACuBlnQPLbdqTJ0x/jV/J4MMLTETQyYCf
uDObisM7IhVC1URNCE1xZAkAFYKZb45i2CCTjpYHqdwz5R3yXC/76pkjKcYyArmA1CN6zMyifiAK
Fl5UmdYPyBcIMXUl0c1TFpwQMmRfG2hF9NwNgp4RSCmCZDOkC1yW5WV2RpoxfY5abcCZu+lShNpq
gihg9RNuIge67boVPonaulU8zikG0nbwrINmWUMWxqj49/GC4CECV0JzhC6GVnTRZQPL/DTWTnXk
tpqigGOgswYGN19MIrYfnYFG3N4hEj5biTmer+hneI0lcMsrDLj6Bso6IdsWaRgbNCr8QuqDRKBr
J2hjHomIkn3ZPCc8f7sUIzmTXGYO6wjWCDkyCakhjVGl55kG5Vsq1LgzBqt5BxEsL9GAAe7jlWVR
1vjbESw40DG8Z/cxid9EHLcORLso8e/tj/TrJVSjKBP7WDnV8KnLbNIk3dmlPlzeeG+V83VGPvvZ
kyX/x2LRHzskSS/Iinre6KCcd9lkZ18/Vho1IH9NxQEadGM2cfYvASPMT+u7icTOZJXEGYlPShSP
djCZX6ZKS/H5lrZ3z1TPPtR5JK+GZODettQ2ZjwAZm4Iqd0OJJccaYrxrZk0N7bFRFR67yUpU/ja
vSN/bL4RkWFeIz3zr5OAJZWwIhktBk70NTCpO5lQJoQ4L9FR2ujzF70ZO3QREyYHCxhRlJvVD4wm
g11NhbH5+LbKiXgRQCOk63Z5RASe0Y8+Se48vTMhBSdDdHZEC5CCe+3G/PphYaF5pAnQMuAfqY9+
Gtl8aIo6DbtMnbsqOY8U6vAhP40CK8Do1F+rlLE9vqYw8G/NfrjTp/iSgLJeFXCQYXR+d6bgBmwI
BjiNot70rrKzttaY7HpXPcZtR/K3Lv2T6/ILm8hBhaitzGbG02ZW9bXnHBtAgNbM1FLDvdpN9rkD
6HJ2R/bw3PDjtYv+OzS8yg7Tcj5j21xPEnBuRIp05UUXo9fknSHNbOvX8Uy70XcTQrxy+pbBaG9m
WpXALVGtjCO1Zu/nIllrrfFWxTIchfkuKrhigpSWm0wtOEKzxMhmOq+t0e8r37nH1EJo1DhYd4xo
o2ctNp8g/b4CQEGOUHXlFldfj9alGjdaaeEA7DChrszWHMPGdeuHwbJt4GyZeitHJzRVgsOUKeC2
6eVDlQ3NMfDynQXzHZKo4gtOXWMrxRCtsmnOT7lrfHZn3aQDLA65nMsDSW7WfmITXuv+0CALzeGO
BIyDY8UYt66fBRaDlYQScZpz3Tu2LPxdNrs6RWP0rBulCOltrgZjRiXWXJvU995Tk1uTPQn9q+dq
yLDy/FNvdNkLo3fYrdnYLeGufsjEsFtFXdAfbXRQ0CyVYj+wxmIfoy7CYgIvJ1S0d4LoQZTdWzKT
uaxDxz8TAzY1GyseU5J6ehPRENjHYaNGk3xxwz0X7Pn3LCtEO25kXPDh2uh2gfqEJbivfV7lzdru
kMN1htm8d7hmNzSTD3NJsonVNC8Dl8u18KH+Zsb4pAM/DPWa0z4whbOjd/aK0+hZJNZOn0X0eTKa
eUVQyLhyrClHR+9ot63NEHSuYI3zGFK0V/ET1MyOXCFr3WNgOzEriTcUCf4bssrx6jmp8Tmn6qaG
4BYedrY7HydgMKg1zMiHjjxmnzMPkZDd2eV7x/3ovaeHRXgXmdAMfqJ1PWrjljN92uYdPxuX1obW
l372oqy+R50paZYJKqslWX1qWv/cjM30tYLZ+3UyDevsousKHSoscsdTtS54itjJ+5QEy6RyRBjl
pR8sbs74NEqETsfOjAy5wnXIdC0Qw9aPRanzSMSPvSu1O9do/TC3TCn4EtHPkM6pbUZgGifPaW1W
TEWfEPAa42VbTRyDkgj4mrngEXYZN0DhlIyuRPQYiLS/TkDQsw1oY2ynfVBp5z72nQOVQr4z9Fps
UolVhstbbW+SVn6vmA3cGeBOPk9tOu1RQogvsIKBKbMXrmO1pMB5E/1Xm0wZ3VMAd6nCynHUjnrN
BtYYptjXETbCpu2zMCOre1tzJeZlkcE828U3r0PY3LXRdJe7mn7bRlVL97Fud8KkJzFMeRRSM9zK
Goappu1iM0ac5KvnrG3rZp0ByWT2IFpuzLmxSuFSbEtb78O6ze0dyPZbQqxoFNYax8DAhdYpuvGi
cmq8nKByTq7Rv5snUTyIrJv2RANoz/Tsz0wku3eSlylA3LnfBiBqt0MRNdh2Ubu2bZquh5Zce9wB
5grIx5UTtL4D5TlA0h7mVYdn5tFq5E5OMl53lnqYXcs7EyTNgM33s91cGTtkhQjDjHYDtCl+x7aO
UYkjb4T0uRlJ+tlI2NbHdDQ6nGpddGAwdEpjcbUjx1mjfckOEKTlTZT5kITXGShfA560ugY5u6tx
4w2MIMZNtviIml1eAv28h0MkuC0PS3oab3jJUgs+gtXieAlZy38krnkg/+VBUv+qk0OpkofZR0Tb
vKS1yY/gNudHihvnNlyNErGUuUIyC8E0QTU22iv3IwSO0/CLJBYOR8+4LT+S4uxheoiW9DhjyZEj
brGm3eTYtz0hc0JZ6UY17jUNgOlmqqepsmTSFcip7uCpOt+6JbEuW7LrjM7ob6clzy4l2K6NZ3Mz
OeZ464+k3tGfs4/IgSZ2P0LxgiUdbwLzeI0pVTagRKz1TIgeFuaF9ztkLwSiz2H6EbYHi+ZYauTv
xRnc2Fx0VYjZT4bRktPXLIl9skePpvuMSTVEhQigb5RFoU1O5Ztn0s2xRYnC1oB5UNuvCWO4NfEi
wXGOFVGB2UdsYDy3/Tfdnvo3cGTZaVryBU2/g3WwZA4yYH3QxyHQmYGPikjCsc8P6iOoUCl7Ptlp
i0hxyTEs8Lzddkn5ygUURmptomXGJsAoGI1fvU6JQxRLLmKvifLNG5ewxAmK6hYyxLht4Rk/U764
G0gS8tpHCO6oga4WgVF3TOnibmXQYznSCEVAuaQ0yiWv0V2SG5EzVyf1Eeco5r64yyvhOSEEn+Rb
JTqiH6MlBbI0Eo4C/SMckqthTR1QBP4bfhE2jjF2jGu6ZEoyem+e1ZIzqT4iJ8eP+EkXfgnRmvpU
faoo+jeOoXykh3297dgYN76hDunMqLQBd8ABrfJzinPj2QCoxizdozvpVAlTZoxjNR22miUUU5Rk
tQ8Mp0qD/hNt2DaONvTqKmXR8+EcVHMIq1gBykGNitlPdOP3pCvLvWf16b4VU4MYvXrPJVLMbo48
ro/dKW+HkntW61/dUh8vcdI3V6SDap3T7EMpYGvo92r6W2RJrLPAj468sM9c/KK1FyT1Fm26fygI
EvyPC+z37OC/6/pYrsMI538W+ezp7qfpn7v7xo8f+b3pYzg4oMEXkh71I0+OTv0f5mhX/w3OLEQB
2usfXfx/9fdN8ze4K2AySI2yPwwe/2oCGZjC4EAxQAKV9Y8FPs7PczCgKsSXIiIFu6ljMSP07ucm
ENrYQmVA+B9QaDecOarsZuQMzCFCVZTBqbHj9h7VT/uKXBKDcZJrV4oLcCm2Bj2pSElkLTqJqIRA
2mmtuVgHAg25rByb507X+T0sR2QhS57lJWuZcSGNd0iFTGS+HUDPbBpEMydTA2TEHj2RTJfPu5rO
+VVlltoHiElXiaEN75XS8GEn9mTfaRzGd7IqECMnXT+9kEAzv5C1M6fUVHxsYRKPXHvbvFVbbsDi
6Mxa8w1LbPYCS3e+aPmMmIkC8HluVRviKss9LsWqfx/b2OD+QkxljJ38Pk7ce24gaboCmm1+Xro+
+Y/J2av8r/i9/m8mkR+jxn9LrD6+Atf1Pb5VnREdeO6fv4ISmFymRZ37oForODjW4GwaU7bki5JH
TP3LYAAXmVkGF6yy5gnnBG+tcX0yjjGTcHtMgH6AjKoPgRrGWxU5yRnnTf0GI0T7QpxEd00WKomT
ZtktF2oD+epyk+dK7e/iBNXQ0Fn1ne+3n3tMv3unmU6IMU3iPc0dwoG3TODn+NND8t+86SVL+0+T
Sd60vUw/l04nbVWbSeXPb7oBHRczIYJyU5fRs7F8+zEe7Sdgq/KiQS4l2sVqD9Af0VMkVI+rkrSH
bcdpgo5M6t+a3FiaL84k75am93GqLechmvlvAtzEOzkbxk2MgPQuGVx0JyisL44fPdKMMXdBSqsE
8vkYujl5yykWRyL8Wm2HZNpdz3Xbb5ResqatXh9vdGW9Ve5wmlrT2PdD5OxnRFo9vnNiFJEGbaSD
Ukany7B10ueiCaCQ2/X0mibMkYlenl4b9usD+SntvkV0tIoSCtJmHLZkhckrD2V+RrjKw9Tl6T63
3nSGAC38odbt1jmKtBufIxmTki+HdZp2AopMRktMIXEyU7ozXlXJK8B2/DzAP7PbMrHEiZQF88vM
tO7dLygjEHNxV2d4wCRPKvJVK+z2+0A26Q14Tv02wldy8StjvHWoVHqu7KifNiJR2X5ukSiFCFrN
K4xkedf1Bh8o+TZbQHtotZzl2dRyhRZr6r7YCV6rAILVySYoINTplP0NPPKXPQsVIv4axnfwYC0G
94Ctfl47Zow7Ih497Zoga7/vA+h2Gjb6x1lO5H15SAUBnbJ22lq9Tqavwq7HfhLa05y8ZU0tz41r
RkfR6+KLJ2ysDUmh7wQTMxkssqXBLT9j5UJVMrZOwWHOIKvguz/VEQmbeh+rTYeKHkVQbV6lzv1g
BdRukTBq8629CHvYruYtASAohxtV59zRm97YOL1mblB2Y2zJ5CjPKKXU/ceybTKUR2kK8qEVqHWM
hqFOXfj6k6+VHWQwo/tSaUqgVEuZXZZNAnOIm1b6rdLznahbrQyRgJEkbA2Du7NnxTAs9xP/zteJ
cNv89aP7Ifn89361fPzMm30QNFgMl0nE8mj/aW4wCWQpsWqjq9k2zHB7wzNWcyu0h0wFvAMjM7ll
i077lM0pFCNHNkFzS4xIInc+EEGu5jyDNIUKER39fGxe8tFt51VAScTEymijZ9pWvJml53sQ6aBt
//kbwH3Ly3KZjqOx/WX9VCrvWiNhylC4DF+hIcmzaOJ4K8iWwxZYsc9EYmK/MGH/L5YMbYMOr0Hn
rzs3xoTAnmcPfSIh5S+W9AxsXRKNitkM0VYUfvSp8ASAuqSKuZH+9Wv/JUry48MnmxZXJX3TwLR/
fe10kNNW2ZNzrQfHQWbaddF3VnPk79uuLQBQp+o2k528K0CU7PrS5x2YVeUefAKnj3WJNmyiJ3ko
nKkFvSC0T8SyBLtgshk+tmKo7pTfQbI3ef9TSaYTQ6Gp+87YlZ5KkNrfiKQeDrpS/siVRsnLYE95
tfOQ0iIDctRKLg3PfhiiLyZZqHtce/4RBjBSQqQO26Kz4m1TJPK5dSu1a6cxovZO2o2qvMoPe9OU
7wAd2a/ArjBT7RrT2CirwUFT52QotfuOHAYm+XnTHAqbjlfl8ahTE8jLx6MXBVr81pKUDf0j538c
6J8dlWzNK9cnWuVlhsCOtlHypjed2mZoiZ9ZeeM7xrFlB1k+msyLjkNaqVsbM3m6soF20Edr9dUM
JPCT3pgKGwga2yevzF6tusTPECfyACu3C9ulMajZXBMJr+zWDg3ZM/oJzpK/XggUiT+doKwEtB/U
DHh2nY9y8Jeygb0alSNY1Su38h6LhM4DtvrYm4tJ0hKJBBw5bHbpCndGvKUUa15cs1eMgdiTNnHZ
HRI4hcyus+IoUlp0q7nU0zwctSwt8XJV217QuVrxJOnfZsBsnxdE/jeTy/77kHq2tkaHXnrrLvFr
bFWUY7cjmZAbGGMz68CukFgUVhEV28LAerIKgFftfW5O61k13kHa5Wf67YbFq+zmItRMUo+Eq93T
CZmndTfowxspcGyRebUg1pAaS0N1O5undu8VoHdW+vK9NlPafwHws0d7wVBFmqnaBNb8xWga5vQ1
niFeT0LETMYDga6DxZqZnR2SheG9wqcr1y0xZ8fayPS9CshFouWgxE7RNqpvTRnZQYgXMHnkHEgf
Oy3D26mayUIlkJbZl44RA1OOXLjxPqFuAXBjsRusOmJi3rTAM67aOC0FTivro+4jH9HIJl23XAxj
IjtR6TJ/QdTYDTlbXkFSoU6a6ZIKH/UDjwHuHRWFvtvZ9rpASPkpjvvuEOk2p44yMutbQmLsHKKB
b/Ibre+X8ieY7+Oe6L2NohfzrSxq9tVelEin2dn1UKvQjcTOlB9nFgLtf+A4N+SKJHQbwTM8GbVK
fdbToO4zYqWZp3iZvLbUlnsgOAEAFoIov5uwZ4l7UdoGNkaOPpDGLl6cVk0bRJ54ClFiJqHbcrNF
7MAqTAVV5krG7bpHfMlFton0dWqp4jsS5StX5yINHcrWaDURc0frMC/PnlcmF7P0JtzF0GVXXTCr
+48H6T96hr+72RLzwl30f77ZHqq39OUX7NePn/lDz2D/Bp6PobfNXfQHTOAPOYP/G12rIHBJSv+D
7cWNsU/+7/+xjd88B9gJSgcHMBgyiH/dbC3vN49/sfwYSjPEbf8IQWDbP18xuFIYYFP4bYFjIbY0
IRr8VKcMZpekKpHaIbKUXFuiKF6cjMpxNaChBWfKdGIEWzRTH5JVNYV5TI3nEgdzq9yI/EMDKgoC
+HR88wajvFOM774GeoamJyY9iq7NoJVriROMhqSqvpYORT5aC/OOBreLEmFsrVuG1dSfeVbSU0Ma
5TJU9R9A+BTXVg7jnT6+lHXLpbZL8see+chznadktaux4HTM9Ua+oDkqJaApjT1Vs0gkW8ugsiRX
EzzSm8YV+bdEywGOWG2Jtng2W8IXiSdimiSAAESQ428X3YOFpguU79ppTd/eFDUC2ZD7JnCRzM+s
nQg4JRZbdnKymL37G7JrU8b7VQF6JNfy+rWhQfBcU3GfB9Bf4WAV3Q3qvOnVL8fqmfLBKUIkcPMN
WUjifm6y+IULpAlswaxX1NMMhNHBuwPVoUz9ieRTWV8cwkbRM/iI8jh9Jm9XyDQ/+xaRpXZh4QaZ
Mcp19YEtYogBBgzhWA3cjWwSmc3UuzAFDcxVZpWvEk01WqnSv5BB3uBNzfoHgEodxvuOxLNptqBC
NUYBtTmvjk4fe+sMl8SNT5pBdFCdIY4j0bU0GWOHPQ4TrHfy9dKsQhIvi0ciE4eHwcaJlw3GpFZD
PhpPqZdHT70Gj6yZHLEB+aadJmVmyzXMJZ5qtsNJRuqkYmP4Qh5yI0InKNvTRJDETeL7I57TgMDN
GOx8DlHUTu5Guyo2GBHIDq2mQJC9Z3jjbaHJdqHADPmLWKQecScZfCFAZ0hpZlP3FUM/5sIpEni+
cQ7EaCmDythT1qfXpMmtL2ZcpveBcvhrXMvbB6NhojqIxL4xTBIFUU7UyV6zelq1M+MQsx/FHj4b
0SJYmUMXxtyzVsXtEVNG8D61k9cS/ltCNDUQtqdYTURwDTIXBSiKmhpDeGy5l8QmCJypBrKeVQA+
69Um/yxY7ErUHzrK+oBuRChKjjW+x5zBXZdcPJl1t50xJ0ePWirYGNj2cUxW0NhcvKlrlmv9ybeE
fhe3hAGvNcG/N+rYvhWjPdRkHJfNOau8OiXxsuQpf5KEwSw2dkLRbT4ejNU6Y1kcyPxHXRlx369k
MM6Ze+3ICdaLE+GhkshQvMY9Ro5pmFbRqPToOk+jNR8TJ8n2YnIvhp/lwNY9hUAGLMnMffdBUj2O
mw6r23MUBTMqPIIc195gB12YN2YdVmXnPAwQwnFlp0YfLupH5nmpfrbhcJx6h/G2LcCpd3XHYBrp
JtQlMEikzLAUeV6uUSfRZaTMuz/LaLLKkzv0OsgE4mCKYG03atAfbNVxVQAnTDo6ukOh7aehfbQL
UB5a7gf5WrbWdLDa8UiiqXtbN027K3sIBQU57LtmKOd7UfsmTZhC4Elz4oM/d8X91FrttZgyGdp5
hlzLCooNDqdyDdpqVUbwrg2RnDF5Ac3tl7tyehqzIxUav8nSxG7wIpJWU/PZjRKUjJl2zDJzNYDS
WNEXwwHkalMoUTY8JrZlH6KurUODj4VcPL+7S3X7ORiaeI1yK9iQw6XdZsqI9vGyW8+D/qUy+gYD
BNO1fH5ru/EGA3lBAqB+Q1pPP4cQ5/Wt3iWfpcWYvsjqR9+bvUPpN68MO4sNU7WrzlWeMUvxGFvt
nTtl2aUX1ROTMrkiSwi3gL4t9fphXFILS+mRXafP5Uqf8nFtVoRaYsZq/L2XMLWZ3Yqky7ETiJYS
91akRndsre4G2gAMwMAfd8Ck7bXRYXqAF+XpNPHz5AgexE55e416xj7d3QZysrcuEyiTZXTj8m2f
9Lg1cekM1VWHP7HTnEpbrv2sprlWZ6J8s4j1Q6uJHPvmXsxzcLVUiw4ZRnlxj9lwunOD9s2rE/2Y
p7Fxo8C1brRu8suwcSQoS/iWcJl9lt8nmnHx2jEc8pakY24UOFwoUfF8LiSDy3k0CMbNQUxpjt0x
eE7vHUwhPBJ5ElJZd+eyzSFVwdV8GIsounfMCMrWQCPDqfWZ6ch4E5A3u85Nso0KGb0knS7uzcab
LqYM5E0KZ+vqpkH1QFJlGfaWe+zAdzBCYulkmv6FoHOxcjT+kWQywivKKzVz73WSwIF8avBQodjb
0t4NtsPkFd/dLqrO1KndoOjq9Tb3lHbo7DN7jHYCJOOBpklKcUV5VqwFCZs3MGktPI5msyPyL3m1
i4JnK6g7/H75cGURFrjT9eKSOZGzcivX26Su6taGoV889AHr3szoRynLuhRkoa21YW7unMn46oyt
uxHwfh7KgMGn03vml762xbabsDKyMpIc4c2ou6FB7DoAErOlcLbcndG06Y02ugGBqdOMkCWVB7fn
iCSb3D1oWGmM/xg8/lcub4NeNZXlX9TJ9fTy0/znxw/8XiQH+m+G43kfet8Ft/V7hRy48LvMxZjj
GYEHI4Mh0x8VsrVAukgCQiBMmhlDmX9VyJi7UQcvt30upzbOkH9E/bOtXxTAdBDICMRHsjQSTM+y
fmmEQVXox8pL/aMuSnmjZV2Dh9cEKUeGx1tZjerAjNdGNV/Am2RPjfKzRSrSM1l08Owir9MuBhzq
eJU083ixrT56zBWP941IpXxN+jSLAQTh+Qyjiv0/FFKhfsDAsIkAJz3O+DbuB7SnsKqwV0bHJPOL
t3GcndMoBv8xQatBMHzR+iVaB8Oc11UN9I6O+iEJ7PQwOmOxyWh2kyNO2DmtutJy3xDkwdnUvUNc
FOqcBXL80qfCvmJ8GtR6GJvoe2+p8o4EnNu8GDgIZprmzyqyxAtGgfGLjEUZmnOXfEeMSVh9EDuo
SlvpXeC6BpT8s9XxpMfyVnmtMa0C2pXfvVLT7usqY2rvkepzHjUTv4XdeIz/Ox8+Ko1e+8QAKiez
nA0jWMlpSF4UPMN9AYeW5L8oecbRjGzN8kt/13mO5QHxdYuH2UiSOyqGg1ODe9qnUxHvUMz4R3CO
404HC0uoV1m6D2UCImmnKvIqwPskJnZYMF5qleRUOevKroO32SBkL2SA4ekh9LThhnOgDwEBi+MQ
5TgbO8NVK7OuEccIEmWWRgUHNUcZ0/fGP9vU6xz8ozdcR68Ue5LQ6n2u6R23kMjvwwC+RB3aym0e
RAFRyfB8LaxNyYcTFAjptKYq7gyP8OSVH6vsjqZ3PZDf7o1PBaaTlTtgD79h2g83NlGzxG0eewFl
pxuRM4z0BJN61d5VydCGEC8E7Sm3EeS9ygTfb9r1R1hKS9xCIuOL3zffO37LsNd7JVLMnVb9fcI8
aSMkJ5N+hXG3f61ayo49LdTiMRpkdqDfLza0sjMLjJY7vjSwpS/uRGxN3VQOQDGrhaJuCWtr1GCS
VzI1pjvVd3H2KHRkpOO90vwU6Y2Bur3fecaYXiccuJfSBNFWvPHt0kPDC98Sx770yRKtO9FRnmtE
yZCponPciWBdGrW5Mux+fJ6cif7tbJifY5+/gQZrnRXqwe5kvJkqqJ4hE5mx2keVsUgEI8C6PKEQ
BuCfzL2db7sSUpbGPC1ktkWMN/B1rzLaFb60etPpTYklewlsT/LFSIxBHhXmwie2ynWRGzcmafO3
tW4gBq7tKyKOPRAq56TIGaJN1OIlJVZ7D6eGz32BmZWr0Z6jdeW3rEC7EvpZc+rZXXfd/2PvTJbj
RtKs+y69/pEGB+DuwKI3MUeQweCkiRsYKaUwzzOevg+YqWqJWals/evaqKzMkgQjAuFw/+6953YE
e6jf2MHEbE9WVmfbKGYDZo/ecN3Z2P2HKkPRkF1H90o2V1eqqbqTFXfZPYxSh4hyoeRexXl7b3jN
3RzyxUwoicYu8g6JGLi1m3whFONsYkU3VBHFzaPRWekNI1G9bnIC9tEoxQPxdFYtN2N/5jUOTE3F
lpb0NCVEQ+CuewtvYd8lt7aTv/ecOl0HM19so7APcRvcAzALMemKeO3jflvHdCzJFedPZvCzyoh6
0/xjxMXwiIQVbsx+8o66cOatlap+71qxda9KAuosT8TKnVpCF3OyrWLMSxLdabqzZJ+6rcZ4vAax
Nn+wqcZi1gwJChJMSkw05GzUtfqRGQtAu0GlI4tUw5rCNoW1MpK+AUNpLBhyJMF8MRO+vTge49u5
Z21MAjaoBarzoTM8LEOCEhdOlHChfGuGFJoDWBtQuNZBlFQ3GUzFPSE/9yqprWf8AmQfAjw/I/Qt
qqGrdgvTHL+wzZtyN3CA3vozsa+1ClLebcuO+aKyCYPjFk08RFy7xwsHsWpcM5vOryNsVZeYLPOX
3kRnAbUEnQgH6daEiL6JHd0RWnazj5xG3NuwRecH65C3H2NX7izZGTcyGfOLgFm+mdLAfKQxIf3a
TE77SdP48qAJ7N3BVQi2k6jMXVo63bmfW4gYptNgcmaysSVok7LohlH3EDl2cXLDxn62G25p264G
CEtVfnZF2eDXkeICqCxZj7Bo+VYN00MgMrhZmSGiG+Iu7Mw5rF03MvUPZijjdR83yaZwXJbMNLgI
r4kPESN5DAiddnEOuppQih1sMAgzKvHbcD6ZaRnuMkZGN5GV+u/CfB5CND/ZPLH9o2pjNvro2uqT
5oDfs4LWJsaXrO2SNTLJ/Gj3trUu/VjX2MiiNlgRiXxXoeZfg2garmcA8oQtlBlzv1XhPcRo8YCg
atGpEZeEaoBLrDEqhh/Kqmww6ipcGU2xBMiX1Z4n+vgcguZ7JBuCLwNpfdxCl0yYzzozoY2uPcm6
vWs7HH6cz20BJsas1LK5nTjCJObHiQRQfijIjUYfUEgXZ3tbqI4nUWK68WUuSD+ucrvLthT1VRt4
CCNRBXOcv7htr7Z+MnEMRgTTq9B2OOHUNaDDIJy6/WBmj8OI9AHbPSBFxFiHjzLddHme3tnLJEnm
+tQFRrmpVB2t/zNHztuonf5pjsxEE+np7/fHV38l2f7xI992yM5vEvw1dCGcSI5nCXap3xxS5ivo
yGK7yzQXmwgb1G+7ZHLI31jYwLU9E+MMY2j48BiqfiUXxxD6jbDm4SowNVKIkjZ02LeJ58pv3TQO
RkXpY+mKtUVej/iSGPhyrLvGKMmwakQZpkIJ3EH/psgnHsG1NCHNbOaWu/IhLSqTEs2mUXY9bg30
Rwdmns8dzdy0B6ShK+KpN0noYAzaZXWfOcNNayYREt5kaXYHuOGXmsq2AVd03TtV8zkJhjv8otpf
C8ugASVUepc6nkcmrwo2iJLTg+HOSDszRDNStx7AE1iLnhXPe0vUZO/yUaRyHTcmh0hNurk50HLe
Vbe4j5KHuvK9T00625zaeegKvmR9XF4psq8MlCfvo0GhWcElJjVvR4ThaF8yzscjM+XZFmu6e0mI
SH+qGNVuDK8YniKKiG5nzrS7opvwKtFau0zFrZFnux2C7mgLAzvxnKXHuEvDJ9XI6qPV2IyLRRF5
nwvP/ZyO041r1rD6gX1OR/7xz32n7EskI/Pgoa9t23gBnzKX5L+xvYoaupzWQXOaTAr7SCSs2IR7
GWCYgiXR8QmRD0L2BwwVGfCPrnmP/gYxtp6G/Tzr6c5rrOnEg3GZSEdsXKl2NKIDKmn0hftB3sUJ
xuBtT0vqJcxydz9KhSpdjIKxbps/hrNmC+52WMNmjk79GKCrOW5rnR3ZWx8MfGSYmivLvhROsADN
2S5nWutjH4kZL46c+k3UgfAQFlRwdGwLlpQ/7myC6gdovQDakXbnJ2PKyh11j8YexOF8dNAJPzOu
1sewEeUD1GD/pjOq4rowgi7bO7MxXcZuVr0gftI7LfLd6tv/Mvdz+vBsSAsLIICR7NWu3ntOXp/i
kurd/MRsb0iLjW79il5tphAMVgRUz1U/IBzPW2R0YX7+z4r6f1tRsYv/dEVlcNF9TqYfpg5MCvih
b9Kc+I0cqKDNehkSfNc24Hq/gYVbllntaZeh3f/OHWzvN+EA3jdNEyqKJZa88P+usAw1WBeR7IQy
l5/6heSxYIDxnfcPYQ7nJNByyfgBHxf9cj8KczYUJep+yeT3gh0Pk0Kh7wYRzNzjABKiivNeb77E
xoCuUjnOsMJp7RGM6NtDrbN+b1ei2jNbxlX/3dv4b1yJ8m1XEH8aL44nEXgWyxHmW81wbABcJhY8
Wk1wtrh4bMQv7oxRnUmjLxOKwAnlCcdwtlHtA6lEzTDKnm4rDkz+FzfPxV1Dcruqt+VE2doHGATB
zRRWA93AfDE/ZWHY0k4D223esRk33E0q8UtdEAWAZG0cRRn3gajKvHHMJG/DjUgHJxnZQuqkfhdS
3MLWycAVufZkWt27fpNOG3ZiDKORtbwTsV6xyH/xdoRNxeoeEsPyBte+nYXq3nkFgPKhrmAMsYKn
SKH0c70AcjbJglDtyMGtLmMKhJjMMvxlErzrfStMTy0JwGRHaBX3Q0zk7Q5vPqb0YNjltf+e1Kyx
p7emPlVBLPZdZzefqRSqL14mx42KGwiixaksVPOoodXeCo+Iim669gpHXX8aDcBBkZ5ZcVM0pJvK
safrPAh3Bl5gzjCdKO4Nx/tk2jFItKgpig2o0fAjtqdSr8xODmcDzelu7hJvxE0yNdsh6sfrQM8P
Zhekl3rq4L3OXq7xVihadtzEcF7qJothGYcAC0HYzzyZzUjdm25S3oMtsdeZ72a3sp81bk27FsmZ
Y01jv4uDGqEU8+llnqstB11rV3np8DghGmEWs/PjqEq5T9Ms35W6DZO1qFW3bhhhLC4ncQCnUW71
DFzUns2Kw3NZHJlDDGtRBeqOd726clVS72gGN08BHkgovco9hcJMg42fm+lH3ITNY6E5+FaDIC2R
dAbjliaab+zcGq/tnma8QIdq59BKvEV7xQoNMXedTj0tT1HRUhwU9s5uxuUGSTgpw+eE2x5HWz2u
W+40sLjBcG/qfrjBhNZfyaHptqkTeUhT8NhaA1qYNUQ2L6i1sWFmNerybK2COgq5pYnA+buBIwr9
mZWjPkp+ydoYU56lrtdtpTeIZyuAmZ3F0/T7krs80ynsbNxxrA9O6SDGt0wwPvEkxp3tI6YcrV7F
9aYY7AnSdqsBivEERmnVsmnclVVlGgihV6UMgfC/bMAgBvOKQb/xCAofuQxOV3v0UFGpmZSFJFdp
psdezzU1tiINr2n3yK+oK+bdg6g6r51+mYX14S6dLAk2zfWdzxl4fEWEfKgfAfzm1x4tPbx9c0Vd
O84CLGqev7bcaPl2hW7lrAL2G/2eM7edoqiSwNe5Gcm9Tgp1TNr6nRcO84vu5xFqWuMcPWLAKwZi
zBhLYRQ3rITDJ6JQbr3CLz2ZqyyYc7FJojqhKmnIh2lVNLV+yn3tdRtZ1cR+C1g+/Q1qtXPELUVe
JWO8Ha9E34bZ9VQw3Fl5U98fi0AVErg+3mDCdG56kYz86lUfBdYFIXq4UzVxMRKwYc+WNG/SCzbl
EtGdUmRmmX1hcC4XZb8pmXncKJaDqyz0YI13fpq9ZyNUkcix22I7kls8Y6esrg3ifs1GL8pttGi4
mi1UuhEdzUfmovEq7lFvWy/Kbz/L+gyLJbyNLDoAy0Uhhv8Cv3fqsk1WDpzaX6Vk2STJ5zjAl8Qs
bxGbGc6p24YedeMjTAPk6HFRpq1XkVq/CtZBWat65yw6dj3b1WnKxPApcEPcC4veTcwahzQS+Gwo
o14Fiy5uvkrklMA4V6EHTEEPkBCkXSCm+0KFd/TqWB+KPovu9TRm4tDUTXDrOE5ZrvqpTdK1hcXt
qcCil60cEoESSAYqvr/o+WHlVYTLxNifW5wUmEvEIKmisV2kn4STOGGHxR0g+4bLgUnqv7K+I7Yb
4bCrtGqelEGR9jrwzPnaYW3exZMdH+vEGrfVgCuBtWE8xotToV88C33CTcc6z5c8QaOj96VYVMol
oe+92h3ixflAsTAmCD1ZiyGiwRuBCMl5umfucdViDH792DB3hlcZpwnGfjYvshd624Tqc2wj5w2u
A4gPRNB7VO7yGHNYuPXsUHDV7LOF3M+NKGmVGQ1q7HyW/lmm18Hk+jg5SDJoglBKGuRsRQYnyszL
bVk68c0kC713ODjwA/NoXfDYYkIYFkOJXKwlltVZmyycUJVr/onA8j3FiyGlJpl25cjKSddNGWJY
kWDu+sXEkgBd2dRZMe6XfclLuphduEsllTuvHhjn1Q8zLdYYKvhwNPM4ra9sd7HXSMDlpNebWTtb
OmwnZ4PsTk/tVIMX2IxI8e9V3Lb5tlqMOs6rZ2d69e8E+Ol90uSLr4fSYDw+bqgHztK0POxBeeIC
6hZDULRYgzgU83GFz4YT9xcD89/9ZKqHZPTlPn71FtmARWbCzKF9bl7dRwiA1sVPckT0NiyepsWm
1C6GJRw8fF6wCvAxGXacP9myyvid2JysxfDEoB01XS82KLdqxHXDcsa3aLFJBa+OKfZduKdSetG4
QbSVPCNwfWoMAQhgEhCxwWOUpxjPh2bI7hqM2nEfhTC7fTLFRlFl90NotjcUsE13DuWqWCZ6+JKq
EczS69QyiKM094E38LCm3uYcyoIePfpXLJDsSsgNEizC6+BElN/KzMEfsTAQoGAj+cZj9eJ6Fe0U
9Wx4J8TXYdlgSqumR6nwmALOrbOqh3o+urHSBSJup67bzJydFXXenbUajXmhPMZxf12JWRKCZB2J
13XuKJJOXlx/sGI9GXfA9TNn3/HQJ/dQzOC8uAdoyCpSderjmieBAz+rOiQUZIybcfBDn0erw/6r
SG33YRypFywqbTQrB3XlyqU9key2Z5d7t1BpfK7DKRmhqOkMM4s7vq9JXd1jttFPFYHdfaFwv6wS
Ej6fHUGXhouXO99XTY1AZgSZCT1ZzDwyKh12dFmV4pbARgjZvYy8C3CL8quXm060Ts3APFJUl5rr
nMD6qrE7UAIjziC7vVLuZCEE/edY93861gGjZ37194Oy66IjwPHWcvnHT30717nUqSpa39CGX/Vf
HJzfFGUHjqB2aVxyKVFbOub+NSuz7d84yVgU0LnozVRvo2f/ebKz+IVLwTIaNI3cbI1+aXZmvznZ
CcEXHDUZxZuTokZ+/PFkF0310JHKr4+SG9fdUI4p7k1gaoSpgfkVVey2+H6xkzeG9h/JltUwHnL/
ZNSRf2p4/iM1k6coTJXvidYDdKaRAhsK+/VHt8zYPYSlxBtjQsMVuD0uIid8FC/hnDEM0vcOWblt
uYQcuNd9NCsnHDdAS3pYO6hfIjDrgVCEMR9Yh9RDB7P8H8JJb4aHvANLXpNAm2XzntrL+fr7cEzM
Zo2DKuEEtprjLcKut2fPAru3bZfXxd/93S3y746sP56lX6/HuBLICENSDajix+tZBnouxfDlcViA
49QnvCxS1RIW+3PA/bc5xTd22uVK2rbQa5eWMMGo9ccrzcz6Z57uKZ4Azn4Wyzc7SQmDDgP6Q2+l
zn4KY//+l18eZWWaeQE3E1HBN/HU2LTwsbH7PHaK9XBlLLahBi+D3HSjJDT061eTTDjg7QPY1e6b
NzPw3CHKszg9CnOQyTmvs3k3KjT+SwdL/ufXEsuU47sY1fJ+eppvK0Zb0G8YRH58P8ckAOKdmNGx
CscUXTTkLL+pKrqH3Fqg2U/heOk4zl8PpDwOc6ophYHC1Pzya15CRRoTNxMhkkVvPtZUNHrKOnaM
VZcQK+NB38ATonjYUyW2vJ+/6L/eQ5JeOB7VLpQxoHNvJj81B2W7rVV8LMU8372y7luDb3CJRzU8
Tk2ExqlzICz/cN3lNvnxvZamBmPKQVkxEjPfrEtJEA9RoMr4mA9Vz6acT3Owu2EgvQ8T/+ev8c21
HMLUSODLHI2PVxBu/fFzdSJjEH1IZ1TEeR7L3ESzeWnW01UA6uXdz6+1/K7vXtfrtSRhPDKi2nSk
ePPhxRkQ1Zq923GeZhpyCnYLpzSy+z/NX3/73X9jFPrjOogrtAq+3q7Wj6+pU2lTq2KMCJ4Ak2M3
w3li5Uw5kmVvy4cwijI8tNhxo9XMAAkqUBaE55+/1jf3zvI3YLRgoYOSS1r97b3D4SyJKmBHR79v
0DsEcCcawWj89O0po0/N5Tir7Okf1vPXt/DNW2yxBCllE5W3oPT++NL7QLG783V0DOHUfqhjlZ2U
7Uw3JTLDvrZLkEmtQbHwapjGQK9Jx009iPR8/IIPqSI2j2XoBMALm+oiCfmRzz9zbPwRY/nbT+jf
/Z3S5NnO3NfDzvVWtUqk7Q+zNowDkUf1MoFgrdd9lXLM8lM1KPQOjmCrKTa0Zhc+JGcKGKalBNT3
j11SOFde6/lHnPn2jWeoRu9UHxYx5EZP9/uff5J/vWtdk3cTyU6yI/mLwGZ6UDgaWhSOmWeChEkC
urw5uzTt9ufX+es3ESAVHxmnEJd/3z4bI4Pop09j2bEARX7nRUuYL08KeYUEIx9+fq23yzm3p2tq
zfx4yeOBSn6ztE1uIxtnjFnOIQZtAtfvNyj53Ro/eIKxYom2jsN0JbpRfzKynE6rQrb/8MYKUy7f
xB9vV9dGvYQQwaaAP+fNUyWtS8Pim+EfdDfU01GnFotp6412eQy6cr5DxTNfXtsHIoDMSFxlSKtr
FCXUt8EckVfAd/yT13XTLX4GYrpNFZdANtO2i6jXoBsiDemACEl03s+p7X/tMU6/d6d0PmPUA17j
VbVabBcJ/h5XXvW1yYKLVcK6h/SjHlRYmocWs/d1SL056MIyMh4pL5jvJjDB3Spl4HTJarN9Tn2Y
iLPBNg7NlUOyN+b+18w1ZHnKswrzSY6V70Bww2kYlYYk5mxdL3uEInFA6tM/+kyduficd5n9bsDJ
R9ul32fGuiHT9zXtW2fYZC1O8G3jxuGZvEIG6IqlRdR99NKFLN5FE9AvWRiuhW2fbeMCtXaD9RB5
QbczQ+XsB4dyj02ux+aLqymiyONKf3KrAYIL/iDuN779QbJLCo/LY7I37lyrYe00m05/mnGVb8bE
C856+dmGgy5RHUlrWxUNxDE16t6jV9jTmedM+r6qpuHy+vb6CiqClYfmXWlXIdnFGcT1kfydsk+W
mYVnysKzbltBhmDS/LpawYO7ok+NFcoVo/GUFwl3JFRI8oBpKuYDsG3eu4n2cTKsphk+OmPkfOig
AhnAEM381k4svRhy+D0DCNUzrYbwqCjyeqlNjwo1v66nYO+RoJxXCPkAugPbfufmfW2tDIv3NgMZ
8JIGmbUTGLSeGTOB0uJLQ+TajzKArQODrnWbgJI0+2q8RBOi5EY7InpKVcvShMv6vZhMJ93ay32Y
DQX58Q7D1noK3TbazKNgAyMy6oqBeXEv6aydz8EwpbQicPSaiDL3UAqkgXA0Z+xzunDhAsS8AKbA
8UDQsuEG25IQKJ/DIaCLenS5ewEzjbc1xbXFoQs5MWAwNx4VZrklLORM58BI41PipltvZlCH1k8B
rJFWuzZm2h/QhrYFSy7Xk1HUBDPDCMZfnV8hnizIwzTaKKsxz8LO51NXmepga+k/Bq3eFs6S91H0
oUxcbe37Ul+yWe+TaEbfh2O3N6PY/uQSYVqVToYTdMJgmcCkosBjZuhoWWuBgL/zRozzTp2nyZp3
1XrvRf0lCvLpFAtvF4Y4GfGiFif0OtQWg2QKjC9vVWW8rDRx63WY0Dcx9WCMCM4ie0nnU43mdCZT
dKnHlu6ZHppdP7kOExILNloVvaNGh/68prSuUoJhZpfIddnmwz7xYNIBS13snaZC/4agFnnhfRNO
LyBrn8vOaLYxqMXNpDD8WcycjobpfqwW1z4Kf5mup9HlqdaV1lNmO6fZdgVMvugmVBEpAkc99r1/
VeQ6+NjiitiGzjSewjRjAXaWPVJmTTcqsu0z4ZDqTkRpczJ62kDmWV0nmoYh6MBZrMkjLYtI0PyO
qbM8TKKIqeD1e79a0boYnwQNH2Ll0/t73dFxbDHWAfLPvNea38nZsXfjkPrdtu0t7wp7ZnVho+SE
m0EtwpkmTE2gPnjHyHJ4mArJ/qFoSsrswHRN50TTMOlnGDycpHW/xFlUA1FT45FhccZF2UWf68C8
d+Uw3Othmqi27brt8vzBiFiUfbiOyiq7bVqGgppvWnpEsmQrYCWFv64n9iKJi1iV5KpZK7qkWIry
Ae+hzxNBB54+lDFHH1wIySZjm7fzZpNZFzi2cl3TaXppzPY9jYfVRiC03TjVTI9pQKYw3rSk7uMd
miYWyLJJdnmcyFuzG5ud0l3woY2D4cruxk0b+cMpHjqTmJU7eE/UCDc+nC2rWYqtauOYe3V4wn9H
sMoa3OYw9xk3ZszegSNCalAoWettNtUfc+JJOzPDJwuo1f3aOiMuVpUL69HKpP4wDrTx7E0Z0TRJ
T+LKLzr2Y/lYHcp59m5Go1J3dYpSZRc0NxltpQ+coD3QKMJqV6Xo6t9Ly3W3VB1NMEPss84c8+z5
9ZCuHU9cM0fO2cLkmnBT6t2lfgUkxLd9m8N/HDqMKWrxaECEW4s29U58qITEJE50HsL4oXOjdz6P
s9ncaYKEx7HK4dsWlbVxFbcATldiYn4g94M20p3CAgcVP3IgUzbFLUlwm9SViI9+XFkL9iHa2Fm/
rnpf7HspubG9/KwYH6z9zLNu6b6E7lNp+9oLyPnV5QwxR1Zik7lDsU9NAKPp3LjPHTzHNQtNte4b
RL612xb0mia+dPchbdNEKAekIRCXwfvcHO2bznSLizn7bPshxapVSUoemnBiFA7pzz7d00+gP0mw
jI+8tOAKH6VbbHzfSY80sE6/txzHr3H1d/ibDPD74B6Q1NGzeaYD662XyaS84cS+wAdxyvi9KE6p
mMjO9215HuIsvS2pJLi4zTge7KoJoal47iEbZ9qK3NxYYTRwr4pq9M9xh2XHCfrsZQHNqW1SetUH
B4f/TikKpjyZRRSRUUl0JF3FLClO6/e6KZ8yfjVFngXygSdnCxEBCOmziSRBONBoDIj/C97QFSAj
K/CcGwfc7JXwJ2iWBWq87KJtklmfB4Mu3agr4QPjj4BHGwTTGfmueNEi7yFVxKgdHs9ABrD0u0p8
1Ahv7a0w++YlrhPW7D86HH2vTmh07J3XfsfWfG17JHPiOivTycfwa2gQLGyjhvKLwGlzjkmt8bVS
YX4eZWndRIPs3hmB3784deR+Cjraeqnn8JDkRnN2GXxLMhka7lCe5QdDOdMJvdULtpnq4QrhdzWT
rMJS35O7jatFuRwSsWYXheHBmvSmTWkGAl7lE1tIR5u/qh0PTh6bZ2oPUozlA88MpKwpW6dgaxS7
yyIENhBDMRf+Eh2gN6vbtI5VsJxNc/Dg2rEFVQ+szlF6I48RwXSI+5KpPMTs2XiketjceUnB58ZD
YW+bZXsq56j7XHI2WtSRlNLRjHehdqMn31puZSZKJs1opUVTGur3QZm2/36Slv1sWKUB5aAbrn2X
FJzMadAV4FD3ozN676Bg07bRyfrJL52I7aTprVHg37ExhgPoKxK1SXWv7Pd0IpMwmVle/dTnpsre
0+RqrkzXuNc9oIhY54DmtbvDoqVWdY7/FnN6thrZnGy0BuMp8hrfNGdsbLEQYb0xeklSK8zXBudk
wrS0iEzQJ7CqWbtODb9TT+ztOcs76wrRYAdkWa+TTJ2sJpNrAQV0lckFDusFa6zPBgBQbmczHsXV
JDNKigWpFH5xWHTu3pqqZJVlU7on4D0+VMoK11bnBmd4qV+NEpmhmqnSVn1vnSIGu9uGaRbdrFN6
8EzGA9bYk9Ao625fAmuiMReTOmd8njpshE7EdR1i8VG1y4aWDEQ7xteJGPcJQOsVpPBxzaFaYeMb
LwO2JNhvozrIGrCJmfXAXivYTR0wTYut4O0oGhMlLcYV1zaweI1iWxrFvBeKCsis8p7qych29VSq
q7ZkdjAjfBCdviOY9BwpZ1eAwGKf4t2Q0IXbWX0asvnSQY/BnvwOgteZJZeBEabqK1XPX+MqeC88
715b+b5kN73O4/TZMyNchAlDSt16L0LS1z3Xi8vPEPJdkUbwjwvrZfQEGyuoeBs3tMA11u2GCs5d
3JU4EPSAv159znrKtayMqTbRRk4EwdB1HyjS+Tz2VJ3HHaYTGCjDevKm4IOJSW/GCe0mJ/w7QA2m
iaREZO/FvO2r6CO0qebQteG1rN6Zbt9hDKq8bdhED9oOwoMevAT2T999NKza3Y4DRqueM8x119XG
AVfB8jWfzJO0I/0REkmOoFQpF/ALDKGoUoxHh3g5TsCgHPcFgYKtiUdhAZTAfaWCwKh3YTbew1Py
vpBwmYyTUaYMdMDENq65t3prsK9Qv5sGaj2Gg1vKTJbfZ1UJkGqGzgODC7xix4BoAEV2Q4L8y1TT
iduVGadiR1U38Z+E/dBB250GRkw8Ito0RhFXK8NjaKqagSNnQulcTdfCJzdI/K8NTY/c3Q0e25XE
AwF0yOUgBRiw4FgUcNt3G7jwMJCCRdOYis7/BGXU2PpGxRmjgDIfRzPwKJ5x793Kn86GIzklR9rY
tnRDmDexIQHntgu1JOs0y9LQxPY6F8vpRERj/3s8Q6iL1SSuTUHdoAjofw4TgDFBZjDkDhwt7kUj
262SNScRFFjzpSgGJc9t2C9HXjqEpnUoy+YDoHO2DqmhzH0pYCKxt+dXGyqnJLTggI48i8VOC835
Cj7Fk0ozaxPVbP9WlMDdyhpOBSmiY14id8488o9WQm9l1Nj+yQ4lQwHcwWe308wIFqXm9Xp9SQfp
hHPk6CswaZwTCKTB1Pn4+p94bkagWnHsfyXWaQjoBwt003OTtZzBoPcwJXDt4TJAWt8YHDbReuZc
PdBSNp0xDMuVGbbV7nVQXKb0y1pjQdFjUpOeyaKShqSIcgjD40/MQoA28Lzyvcpk84HqO15AFPMb
WUdmXHkdQK8oFR+zzuRTzxMQg/4w1sda5uNtMrLfpY8RBFDSQRgs6WBfjyavy8mYhZeSY1/V05q9
llNc7dmqcbbvulTXdEr6tFhEM1MRhpcsBh19Ur6JF7xwegnV3TezjPsfltQ1bfLlM8M/qL9JzETR
na+8um7IeaUe/C2eHaTm82Audm0yDM51CqTuRmIIuSriGYVslgyv/Dk5vd53BoyqXR/zCdgzgXUy
yfNd2DaEffpxIe50IVlHA/F4QW46813aLe9J2qGyCf4vn9V4U2jYR4oh5doRVJVSMZnvyTW3hKMB
YOkJnDZBOcpb4OLS5M4d0DpLowTsfX5hGquHwPKMrRdSB4mVudm0mtrTMdfmR2BS8w4HQn18LYss
i5Z3S1ChQRDf1tO55xdBRK89uakGw/wYwlKNN0mbePuo4b4PDbbXsIegP70OngSRyq+zcBgqxfAP
7ZlLxqNRPDNKzG3S91b/rrXwYXt065360C+e/RCu5ITXDd52yFfYsTu0STDuJ78UxXOiG0xh1WjY
cGD61MQ1kPrinsMBrzDHItqRPgwSdsB4F/ZeHlnXnFvqDxBO+Q8yM01OXcHb1DeQAIeElsfXL6zV
JOGXbM7KZ8rBufTYNf0pbSf/2DJyzVadS9n7TFtDYDKRayt+zquj5IrF96WTDb2IIuLo0Zafc9Ol
UxQxb9/0Nd2fLZ9O2/p82Ue+gX43eUwscm/f1lStBoWazjYj8HOZAUarB7ys61nN4iqFbHPJbeWf
ZGrzl7ecfOQmZzncm7Zk+IEs6m7kchcMRB6uZSkZKZDWgPFG/069GryOu0TP5ktgxoDwlGsUeERK
b6+LWoK653SKA5D10XN4p6ADGI9gpv2vGsx1tvLa5R6sl04xDfbphMkMPp5LIv9g6AVg6WqOfRQ7
9L+7inPymgPG+LEpovFp7N2FiMWGvGaUWgZbCl2xn1ggE69F0+c34dB2j5E5uF/K3vG/RsWIe1iG
6QTXiieTEw3VbpJ6IsdL5PHYe5X/KVYLO68BZgE3uWDAvUnL6Bso8T9kqX9KBC1w1++m539pyjo/
R/nvP5jX//iJP00OijwPDGVH2Rb6APcf+sGfJgctAEvx/MCIDr7RXQL13/JA+jdHugz64ejyyADs
+C+Pg4P9QS75ImRkD0EA+8MvuNffigqoCRyY+T1oUbjX1Rs9aPJAYbXT4iDwt5O3ldOZ1Np378bt
H9P677tJ/3oJTB5Sumwf+ZNxUvwoOSEhLZtDOoTBl6+S2V0ZEy3Qirf0X+aS/4+rLH/F5+d7cqDN
f/+X+H/EcMdRhlxF50+N8VSMv7fy18wJiJI/vpA38qSOCoejO5fo5jtt3kFnruaXn7+K5Vd8r3cA
MaOFiC4ph6p713orXyvspXlvuPVhcFwaSwwONVFZ3GVZtZchM9GfX+0vn8zr1TyBdkWuQr3VdvUo
xxYDYn2YioC9CfLAKso0RV5BmW5+/VK4LADbSCirnNt//HjMRpUjDzNeWOgGj2PsVPQI9OJs0rP4
D4r1W2V1eQ8F02C2J57HFd98TCKRdI7YXCqv8+46SdvkQFX0tPbHeVxVwZjtCY1Ov3pvcFFaTISN
k4kcxtuLyojKJANG02FKeBctRjArVTO8oNPZ+R/2zmw5Tibd2ldEB5CMpzWi0mzJku0TQrYlZkiS
mav/H9S9/22XKlTx9fE+6O7obn+mgMwk833XetaZ+zvuXi/3Z4KAw0WFSsZyjh5lJjQ5S6mpoJig
Ja7ykMgZrSb1IjOR7MNyqe/kRHJKls/xdZeP45nrL/P1eIyaoPDoIhP9ah6rD6bIkrGeRU3gFWC4
nZIbdOrh6+fjZbmJ44sImPDeIuegE2n+PV5Go2qn1jdVQMamsXeHeEhWkSvCm9wkGHWesOITBDFu
K4VY//NLnxo/AoYJCjPWLKJq/760b1ujEZlCBQhtJ0ovNrbjVJvghmg6+CiOmDYcS7KCPr8sxOeP
sx85u8XNmnwUDONYb9bkGpi5vlawP0v1q0L5MUBYhsbNkXYO7BDOHsZANk55x+680bvd2AheAcWO
/TT2wz6RSj2Z8SyMNTv4dKNa9960i97ecAwdrnySdygMkG4t2rHfGYCnH5C/cvBaYsAfp6WK7qZu
etk4PZ21ijqhR5aM5zUQ9ow+6FK1xpUQ6xxCEchmmhtf51JOMNq6auUQdEYtoeMkoOfupY7RiNYw
ZIZVbE/xtV5rDlu3HBOFTk8k1myAVlHRMVDHNt/gdumuOr+Yv0JlzTfwRk0M2PUvB14mMgPShjyt
JlXUnbH/mc2VlZnt17GcrPsBI+peo1y9rYRKOeEscV+dYe2ajDXUHaVx7VHc26bCGuH5jv0X4bb8
JewFr9wZ2Hw1eyYpAVNjXIfAFYOKuuA6qrr4Pkz74Zffgg/rZ9FR5glHhgG593stmV+H0gm/xRIR
1wa08PwVXYItoHkZr0qNWr6mg96+abU1xusxzdsn30y8GAVWa933eFrW7vKAEXBdV1ToCOVqF6Dg
ZDs4AsL2CowKOeIJrPRtiNMbykkDhAvEnIv4ONVu0sh6bRsEycPUdr/TefxqzearDznm+2iCO7A6
LfnWZhBA9Imez0rFTKRysF6Xw7C/iongCNKaFSOlr09cSzi3T53O31eM/I50dLND4dvNU7IM/Xys
3cvC62I240O4FbbCF4UYGUSCmV5Epeg3vpJqh6FC3+NkmakHk6G29gk22npEvnIGz0mMt+nXBdRR
uIA5k49ep+1+KLwsSO20f4Ag3j202P0pM/kNAwPe130eIe3W8zA7oGgBtaVV3bZHNHLr+TzOVb3E
JRa0cTYm26abdvDT9CKlQwuXGSvpaoRTFq47xUEIJ0xEXz7RH9KSmJ4VIDf7Fip3uo+jSN8blgp/
hnBqgNmYWnhjDj7tpSymm73YHAiYpMZ/O8WKtM5octbQf6zDJFV9VWtLXaOY+wvHl85dqAltjypf
3LlERF0Nlv0UFjVHI2wTaM/tXqfxSu3xolYtXoVuhNeAVzr82SI+wMI1VO1KaJ22r+gEv1lp5r1R
2W7XDUSzSwWB6Wfs68Y26moLiiKRBFutaX1aQf7yPEL4GBtjHn/ntGnTddOP+TaOkCkYjTEFZGyZ
V3kUWY+UDeZtOHlAB4jsMvaeW6q9jSfom2eGPS4cO77Xi1oPesANzsbqRk70btLTo6HB8cvIgNPU
RVfcdIT8vCgA7tdlF/m3+HTEI+d/2sl4mbTtWJOuOZhEOoqemhB+Fe8uTVT5MsX2cK8mQP1jGrc3
Y1M7V8bISRpcjH2ZEaSzN2qbaIGpdR4kDpJNiy4MVCFF+rWtE6mxquEBgRk2w/ZeEaZZrsAaZuSV
OY69QfpTYfcb9DcrcdpiFedV/FDjAv9tz04TGD2LUAaQfs/QQLcAd3UnJ9ns24pss00jk2bDhhIf
hG7Vl/ngYFeJqzp+nDnsRauIGL2lzBY7BNdgYkdNMB/4tdGjCXD4MJG1dknbcFrndpjU69QpdQhx
RepfeBwWdtgFHMQAEQEZjU95hDICVIjFdhhnCcAbRzAmaBBQ4fL1dgvFT138u6AU1960Q32vbd2w
C/G/6bm/7qEr4+Kr2OCYFEjuSjYBP4FftCxjfXZP3hK9rlSf1i2rwI8k8WeytVw3AOTWv+J6J64b
wdnle7lkqIhTXXnoq17IzzV+4k5Da5BzbH9rfMQxUwNuD70gta6lumKWjg2pibIIgjFyLWbbXQpg
iJkbj5ZW72WcRBnD7/BTb2MZ0dKUXS5J25+iKgVY4swmk2O7yJeaetY2z+7YNhuOvfxRSwlt+x4m
8F7JMxvo5TSEOPVacfXUJ0Wxf49MoBgXbpPZ0PlWL8SXmg6GPi7n/Kp7wQzcXgBs9zIcUKm98cJM
Xz7vGYun6m98+k0UqmKILcrwk2snw75kaG3kr2iUj0FFW89cedQhL/DdQByh6lwcYEtRBnArh8xf
2mNzQDoFP1gfAXr7pN8+GFj1vr2LNBJrKcq+K7lt6YHsHhYU/yw7LgveIzyMYOpXhqKW9Q6xl4mD
mlMbefWegIFQuVRAu1zEv9+LQdlSqCqUY1+GMJuoTzQomGtixpj9mrfnIKouhNSyp8HH41gSpfGw
oMi39hJh4bUUFaP30vHysWt8mp9aShl1cCj0CoOqSeXTiY0pJ98JNVkvhDDm21IywDHTZIeZEb1G
vwkqx9LLVyLQugskH81jkznzEwMpunNiLbpt084nM5IOrmOhG0+ULEn4Fs63lrNou+oSM7zKB7Je
/130MUNtvIP4DdFd0/vXvgy1r4UrQ4q3bWpsPM35z3vK2pGQcJ0fO1pi2OmWNG4ohZJpD03lDhMY
TcXcBDZgj8n3smu8e7/qx52Gs/ZZdJP13CvNek5tOd3wpXJ2cR1rmylJtA1lRdoHYVhdz5GmvlQA
EbamggcBkXi8eX/qLdmnCKk879Zc4JtlWfHha9JLWyGfqCvgCGWHTa9iIO5GiJCXLu3Tbemn7UUx
tWIrwcNSKdYtJrHrT4eOEtpt6BnRBWofOq7vY3n2DAR+muWxr/BIUQOHeOM2ZbilgxnBTsTTt6Lk
k93qdVpcODSVvvkh1sw2RFULJJOPIQ4gXv+MVyFrSPszcKjhsfRFAUqCcp49G0tFErVTNhHdEdfT
hSnD8tZV87xJKhv0ImKX6UlH1meTfgmobAaCQ709869yYGIQg930Figm/iZB3dvqCtoHAwkKhjvQ
UlByvK3dhk+3G+OCd+uKquQ4F262gd4RJivPiP0t36b+wlcoFFah1dD7bvPSWJOdUD12iFB3HQsO
e6DSxXJtmS1BZZgoVOf0GCKo3U6DIQ818rEdSn9tAqhcao//TmnCe8iO2YLFl/c0APT3EIbWlsTJ
vsuyvb6m2SeXUAmjzJ90uizbQlKUFn5i/HzXQVlEUm+sYSAtwPeonY4JATiatcgFEYxsE4ThNLiR
+qnMdQ/OYE1br50UaDOTKqmYejRyhe/gg2p7RHyrkrjDe92hE4pTLadsHPJfHi2tjkj+pKh71bUa
DC7+6F0q8K5BXK7DgHhZa5/oYr7AhObshzrZL3d068ajuabuGd8QkkFSQ5cUD+aYEZrooVaYZazt
Odu3aiXsyfwxlZOX8m2oHyAqoZPNEu2SZvldh69/BaGTuMpUe/WIZtoZVvmNtBwDoOwUXnEb2SbX
K1ZOO2rUzvPUsK2owO7DkJZxyb7kEt2fQhla6+6WHWJMj9oGaxiT4UwZcp01TvHLLbVflPtvR4Ao
O3McimXfVl/gESQrdk4ehyqe18rTooDVas+D6Ndo0UnSRMJDC9z7ppUYXmCjVDTmCe3ceMOCcBT0
GnWvRV5jSyjgruR+8aNa7KpMx2LFRh0gw2tZxhHxN2RhO0mOqLsSfQcdJY1/RB053RkgGdLPu7Hf
jt5cPUgsMYQgRHqNjs6ML+PUkXcloa7ftIj8b77qBQ5BSR++dxGHGijkNrkns4uun+aDSeoqqQ5x
FxA8aaMJiGrrzvLUfJdGjnqQYMi2iH9cWv+jKjbO7Djb0VVAJVUc7wmfT3d9nVGN0/PkAH9gorfW
kkGk5uLSgNZHSye3fbUZqkiQ3+x1Y5ZdNuVPtvfGd5LLvGvD71p9rUy7uu/rFDqOWXXDXThP1UU7
0WAiEZOsdQ81lFkUOvI4zLdLeCdvkcRw+6cVW/Ww7iEN3lpGm96XNtmCHW6o745if7Uajdi8mTy/
/Q62wD1kOJWfw8ldMiPhYj7pyxfSMQpJt8uLg7Esu8s48azruGjaZxz2dgBwbDjkdtRfDtqU/Wqt
FJVRbPByq64N73pXFr+LBqZj7xjWC33UCnstdISDAdvlCjI/1RWsQvQ5+tLirNsAmJm01voqSrfY
Iu0xaGHhbb2ptOk1613vm1m5JXqe2VtHUT7v0GmSukpAOLCEeKaLSgZRt+q0ETTSpFjJ0jwNUtnn
JJO5Oq+Xr+1h4lSBglzMIHe8TdTIeYOd9FHLaUmXLQUtVvkVNVtvU/q0rDNDPiuRik3m0NJBMOLW
2NrZGe8r3ykeq6yorto5Ny+UQrzBfr5AGoVLN5NepwWiGbQi4LjkaK8ESSIWG0DrGZ3jPRFaWcIo
Rc/AKWZYmVoSfqUR0l7xUczv2CqmL6Mhqq9pndXfZCdHdy813KyrJKyTDNLAgvUFxU0wrtaW95Yw
hnL93p7IlEOIQKeG9NCb3Ws0eLTvqexejb5XXgp2tr9KCb6XgEdsNVp2M1c9jIJGaPm+RW24piFc
XRGCBOMN22p7QyEwuknZDK1SK0+brefZNVo/B2mqAhzI/P8NoA/DNd80f9Xhv0Uo0c4HYMTdXYaP
amPhK3oaVSP4cIFHMsoivG+kqH5SBvthpc3wA0Hkw0w8grVzablsNLot+7SeWdmlJtZMtfwBYBfI
EqSh6out502xDh0UfHGn7+aehHWUjBbu78rax2CorswMMvuK8EroQ4CMA6De0U+6Tw1yCb1a2UID
uRGN7iNHHb4niJN/hAW4axn5z9ZoDZe6NMw9fwshz2PdPliJ9dvNPXXbU9TC0Bb2uz5D98Zzm9Jr
35+Hfa9cnhhQwD3IkVFRX+GhiNB9dvvYekz6Cn5GlzBhlY9hu2RPNcWOv7M1e9+K2LzjDPLEgpzd
jnJ2DjXq0lU7tM5W5mX4UvnZvM7piVEmFOmNA8Mfq7HGKcZU7G6hxNTkPw/llxJOBjtcjXpz0V60
3lTch4nm3Lm1TrB56pg3RtyLNyMCE1mlRGSrLokOIfTS29Ie46vczuwHMtH9EhHzDKD2e1oCyYiz
Zl+w3G57KQARtKN+H4adA3YTQ0HVZtV+wrn+0LLirroRa7zv9/pe5d1j1IHkHl3dOYiomvbtoH7E
fukGaRTzxWIjeGAh1YJC+P0VWzn3MJBudNNEdcb+tyrfupbs0k3eyp8C3f/3xms7BEARIvOflZ6m
+qUhu/DSG8J0Q7VkYLA15mNnauO01oj08G+SXEXmuirrelwJgpXtXV1SRl57sUJZM6n8sSz8EgXS
5O/jZDHyUMJ6RAH9Oo7oi3UIVUhRhDro8/CLIO6ClqVZrNlUcUiqERMRz5xeFIlvLKjaQEOTdmD+
2/AxnacCMd3aCmHksivMN5Q7fjUk5G0qfSL8OeX7Og1D0I3Oi8sRZEznK1vp9+yhHCpnlIm0zjN+
WX4+XFqVLbZOTWANGB51G4VG0Pta+BY7wr6D9GbeN6P/Vo+W9hQx9b6S1qXijd1UNa1xNYabxjOW
9Ay72uv+2AFdqcsNQDeI7PgRzniUPlZBycCzdD7QlLixwNP6+rOTIxrfqdyE+qtbE+VkFP1XKJ1z
EDmcbn2XQv7ndddTTRCMwnhrgFMTsnJUaY5UrRvogbhc09qPtVnvOQEAm4Dpe6bd8sFUs1TuoU6Z
FttwOi76cWV5nv9T1HbmbvjVvBfpp7D7DT50XGkkfuCXQO/ieLP+EofLiXKgHvf57Z6q3hNI47iO
JfCgfugeuKKd8QIodPmRdW/DA7mWEXXSz69y6qHyCpcatk7j89hda+FJ6ayCHsx7O6QnIQB18TQC
AE7lmfd36oYshAOeRSQtLcblp/zR+MvIXobjNNBZIq58g3buB1miPz6/nXPXOGopJTaAOWarChBR
E6ej9pZXnHO8LS//uOPB+AOAxFC03Q+Dw0+9QZmtCiQfsOuo082DCYuR8Jwh+RZrtFqQKOkLhRRK
jUDth4HvXGvn49QTmJKpozL/fM4vy3P441latkQ+WPlwsA3IvC1kpTWU0/oq11KUP9IvN//0uXI9
MpV8FlO82Mdzr2Zv5U2YfoKiHFmlnOkeOJJ7Zj35OBYFPXTgcNR3TISyRxPcj0i+JqKoDuDHAq6S
VbLGU3DlphQ0P7+dE1fiJjzbBfSBr8k9GiZ+kyTzNHlVwNKGaklrLokdepQqffr8Oidek+Fapo5h
bmkTv0dF/fGaHFlkwlduFcyJvlX5i+bl6zQrF8HV4fMrfSTIeeDq/rjUUbORg6qzODewCvU+1bvS
ilbkGv07YgZLVl/OXydwz3vQfaHa1FbrbXTYm98d9q3bdjbbbUoLaG82nKULJaiCFRaCL9tLJRQ2
0qyiIZ6vw5zNoFWXArEoJWM2V+02N8k8Org9iYND1VHGmvDtrjlrA2xykvnMjUJVPZ5+tDIp7utM
AAPvytHaDL1aE37Z8UybuH32i1K/MXrvy+Q4yUsxd5B285wmSo4SCa/7ziX+iMaVc+HgC0ps2jNG
LTPExF+LkN1R68TI/IsvcvBIMOZ0WVRZvW0Qia/qBBB+qFKBDnOo0Gj1cM21VOvWo1VZAQ2uYdO2
ePS4TrrhHO9eZRZahjQDwjKyXm/8aFjPbjRuyB/KfZ6WCQLHnxv9p7sIuz4fASfGmomfHwUH3yy+
+0u39I+xFhZ9TRt24rmkcN17wxcXvPUxiFKFSJ4griH4/IIfO79CYFG2bBw8EDyOO794Evp+kEUV
+F4L9SupyO0FDnPlCNnuQy9qr2LqL4/Q26LLz698YvrS1tYXWiRSjw/iCxVNvRZ3Tol7cJq+9Q6J
JsToGo8Y1dPXzy914ibp8rIaceDhX8c9dJojbDqnrgyKXlEaxdBBZuhCUcdqoi4ckpO9dUOXDbqr
SeXu84ufuE/2VQRl6O+E4mPruUu6DWfPsgyakKTLeiCFcfF6kx+u/vE2wFoWKRI1UbX49jE+hINg
E2EczQMsR8/TRBy6Seozs0iIfzxM2W4gmEIYhQzjg19cQlHsor7LaS52w2Z2qL6I9HYYbGfH6fP3
P32Ali64MdOwIDCQx/f3nIiSXJZWXnNbdiEC7LxlRSOBwm6Ti+wc0eLjBORibG3YGth0tY4/XzUN
4tjpCu5Msx5joT1jT/udjuIRQeCZPcgyl//egnAp9DkOt8aa/+7G/mOuEzSRTKVGNxZb4lZQMPEr
EqPdvJ8h5+Hmyc1zu9HTV4T/g4xtmXTHnxdLuh6G5Cyojf6Q+fKlmoxHoQiQ6mCzwMo0r/75q2Pj
vRCxgVrQ8vn71dnQVnDfulmgdd1hyvvAsjJSO/Qzl/m4YbR0G8c6YCN4KOaxsqr39DFJ+KsDglMW
QzjgMjnyRfz8Zj6uIlzF0NlsgHJwPpj0cciMRGMYWaAEx1qOe2hKuze3dO7TuqWrRlajmKozq+SC
Q/8wSpaFA327DZnhGM1AUAIOgBhVlW/jYx9yn7N4KTNk5j6turmkk9VMS9QyhjlCs0CDSmrfurtv
xzq6yGkm7cgPeZwnu/6CEBe6gJRsDpZtQb2YENDGOF99E8gDjkD7zK8/+WKWICI6AniGjl8Mfck4
p7yZB5Soym06kW6vjRQ7Pn8xH1dYXgy6Stc3QBN/2HIWVs1nJKryoGxdCGlVH+iZ8ei57bldy6lX
QQIYqkrAE5xhj0azm4tS1iUL0SgF3ewwvhgdfdx9fjenViCHLQD4BQ7lPLu/rzKDLRqjTstQEOBo
6V0+UxgA0dQ3+U/0+v98F82ZEZkon4yFkXR8QsX77kB1ZIpOWfh7eXYqce4LFT5/flenJs8CRnaR
5HIwOB7GY0OK0FwxefLE9u6yyaDOHtq/qbhWOxXZ3q8hh7CDiqU586k6teYhJLXYVyMZ/HDooX6i
x8LqsyACTtqWGg4KQsTTJ5nOD0zEM1c7NeA59pgMdk6WH9SCwBDQkWFdDmQks33h2O79YOLK/Pxh
fuC1wD/SeYjEz1uGQOZ8tK76nTl2NnW3wOsG/SmJ9WpHPBGilFT0OQV6d/iaGl617qq2v62nMrux
c1fsYw9h14yJje4SgR1GjcccfwZN2a5Lz51ujZNP3uWEzcyEZXa88VFho9tDUfC1GS1qhW39YrQ+
AHrhNReJ6z0TlyTXLnk0V3lJOnY29GRT+9WPmLbu7Czuy6GwLqgi+Stn0iRYXO7j8wd5Yq7R2GIL
6roCtsDxBzF3+Q3JyHZ7KOffcjbanS5RVIU5Tezp5fNrnXgcxrvQ0F4Uq+y6/57XJvQJHZQ/W/vQ
+K1TcNgUtv7STASauCS2YtJy2jM7jBOTzjAo27Oj4Yv1YYvdq3waVVRxe6n9LU4iaBy07ilmqnkl
cGd+rdVQb2jJ9sE/v1cYZf5SkWKDeLxSWiQgJMprqoCz2g0eP0J3VX6PLJm0tyx6msgEPbP3PfUm
2bJRBgDC7rOUHT1dh5ZDYxHzrulRvYbFS2uyFO39APQgKBwO0p/f4YlvDjfIHmqJiWazeDQDi1BZ
cVLxaMc+QsJtqWGj11W9Ecji/ptL+bjfPYcNI7iuv29NulbSFiVHNMOvyjugy7g13da5TDrDOLN8
nRqjggm1+BAWyfPRGO3RxZQzlYGgKbpHqB6vtl0/ktGgVklU33uY2v/x4YgFDNOFCYgMHfnxBDRG
Cu5mM5fBbM4Ifdzhi+rURlIHOHOhEwsz2mLdhm/ENsT0l/f5x2Zbzrj19JAjYB7Zz9E47r25fjwz
JAR/x9GG/q9rHI0JXyOfz7K4BqpeYwXBVR5A1NhfzM4BIpMPDU9Rxxo1KAltLI2+VoOCc2vTsOlA
uFL865BElQntHovcIk0YBsAG3NCJaNWBzK343vSJ+CsnHFqh1Mt90aDQ4HQ7rdHChRex7aHW1kfM
isZCM4Jqa3yZ/QLFRWnA06iKRu31nrAWDlBjdAu4ld1htZjD4YLfxqMb7wl7mS5yDKM3vYiL615T
feBl/mNSZc2aJ5ztCmpFpI6jFgpQKBGOMsxyG3axjWIwG64qSyRQjtJu9/njPTU2+Yq7BuNELJTS
v98g6JO6nRzGJlrBl3psX7xY3lpC24miwlQLrfzz652a4ey52exRvkcZf3Q9O55KsrCnMgDdvdSc
bgYzuxja8szm9aO/YCGeovBnb0KZzj+6DMCRWKjRJ4BPz+6lTBTCIe9XnX2lE3VNV3rd2eaPSJVn
jkzH8Z0WWwiuS5WWJ8rh+nhD5kswWHKwqYlU0/wtJoVv5SlLu0ftrudbGueccWq7gEeQ9fUmJ5yC
DlfJQl6b/YWN1NdOB+1C6J22M1qrXIeowxhwco/xgzaWn/60DYDkw4geCCRNtPFbgwR7qPmbyAgf
zAwfvzfb9Qrno5XhKsSel/J7QD/IV4Tfxh15nsCsRyx4OLr434vZXsdNm25d2AVPtbDPvYpTb9wB
QAvlljKDWLKk/lwjEr2xizIjCxGA2ER3aTUN+j4z2v7MyDq1Fv1xneONUS97Yi7BXgWevZCTqTes
ifbYfj58T30QHWh99BXot0El/ftm9NqUVQ22KaDp5K2nxbKow5nPIPDHzXTGdHbyYtQrObOQpvVh
2+soFqMyZ65osUOYCOAEaD87ZGAIKtvkzOM7tRA4lP35WmDZ+7D5zadJOClSikCl6h4gGvnG4fRc
5eq1TTBvxc6ZJ2mcGhcupyQOsHip3OM+zdzInOfLPi0dc2gis2kcvFkNFya1+E0ltDiwZI3jW/ri
S6KHcTBFKJujKiH6L/KynV9Z01cXXwAa7TACWfX5mz7581gQKSNRv/WPF8ZhDBsti9nmDLV8FX70
FJv9Qy5oJv8X13E9ToocfxffzN8jqum1KZaIcgJOopJqTvtSTtqwqTp15kN6atu6oG0psSz/5h7N
QzH4yLgRYAUtwvG4Qec2lPeqsgHDG7ekoz0WuX+mUHFqAP9xyeMNazpbOUIdvQjIDdoT2/DqWzkK
V+egqv7MmUOcGr8LiJtaNLhtakl/P8d2CTeYR7dgmTGnH20s32ACkriaG96a8m20XvgAhALp5Tap
F8GxZizyLIXyB7TRMyle8XNYQ7XqTGTLWFswG8SteiDVF/xvmeeEzzTebnQH78mzWTUBWjWoJrRm
JPpmKW1W5ps+mGja4SGMUv+RVt0NnkS5hfb/mnj9sComkWy7YjIfJMpLPvamfWY0nXoK/uLUpcTB
uD1uwOa5bMjilez85Hwxt7OxanXrGfP4JTVTQpen4cwFT73ixZ6BY9Cl2Hr82GVqRFPNZihIapgD
veyU3L3TCUQEXGfVLMLUzyfMiVvku764jeGws3M/OpP4zuSBHBF5AKXR2sZqcq7LmB3alFbNcwqn
mUSq+Ofn13zXaxxtQtHemDxUpihH26PRFWlTTmc2LwKnmP11PHTOgxUb/boUk30ZV3n+BIMN9oGF
ZOtdp+zF4B+KbgaIhZZorw3g/M48euNEERNVAlWfZdV2P5x9o9GeZdgzo5s5RM8mImuHKk3smlA1
e5jLYsVIQT5lg0EkIWk90ZNBfm2dQxGLE2vl4gtHjgEzm0ab+ffc05FGOEWbFPiWUzAq7+LmRIC+
QGBZ2pe8LveiTZEk4rOAUpZTRDa0gj4qPJH+bhCDvpumENzEO1++nfVvbIvLfTwwpLBNkJY8+vYe
Xe7rhCKTJbvfWk4abxEMWhullW0QO7W7HePO3XjRpVll4iET5XjLtMWJMjERnmOv8w+57n7XgYKd
OZifun86YHjQ3aVDf1w4otyW5k0ruP88Gx/AlCJIc8bkOTG0ePf5SDx1KdSXaA1wo/PZONqA0HSC
R758loCQxhtZe4ulZ5TZwY/z6Pnza72/t+NRv1R/BadXPoPHx/9Sc/JuKBIOBz0wnhUxVBOOj9ky
9qGsehiruXFpVHp4147mcGOaWnRvthrcEpHLvSzBubz/oP/DN5zBNyxNTo7F/x8lcALf0DQvv+IO
iFbb/Ilx+M8/+T8YB/9frJlA12l7CA4of2IcxL9sVE5U0TwbE70tWGz+h+Ng/ottA0OAf4xaGrvR
/+U4GP+ivsfmlIqNs9iM/1EK4cexvTRZqWoaBBLy646WEV9MyHGlJgMyNN/iKmLZ9KpwlXgc7/94
Onf/HsKf4hy4F5PCIDVUlF0fTr05ueUWbFquZGLbQD/+Q5bVuCIRpjtTITl1T1yDai01NNR5y///
R4UkarUQ/Dq00nbIOvAw+m3Tk3Hn1POZz+KJC6F5Qqq2LED6h+10z1z0KzWDRW2ytyzP3ohIfUv5
z3/85LiMzTGXgzXls6N3hCYEbYk9yoDagL/1vbpeLQkU62xM/otHx1hl1aHrTv/puBiI3bOwsFRI
mBuFuhrh1WIPNb0rVaZnbsrhJfy9zlGNoFLGmU7Q1Dg+1bk9iGGy4GQQD3CjnG76MkXjE26cJ9lD
NPr8CX7ch3MxQasLeYbj+8d6ArBzFXOzkoFfN3B2mgKTPqSyVaUlL6CsoTtiF1wZE2bZzy98aoTQ
M0Rg+L6FOX51jqo6M49LGcg6qR46JL3wLjHYoYsTZ+bX8hX68ECpv7AqsAdlVv896ucu7SZEL5IO
NSQAKLHTlkjN8OG/uKE/rrLsj/6YWx5bkV7rcq7ijxg/1fjUFwTjEn/5Xz26P650NOoHYjiqvuRK
cd5NG2dMX2Zw0uvz0+ujvJZzINA9oioQZQCwP9rdRh06bkuj1dVSykTg3lQrEIwAzoX1rYZihyQE
mqCXxubOBtO1RlV0ph9rvye4/P32aLJ5HoPT9S3kUst0+eO5VmFhe0UlCz77ZrWReq+BIZfteDdb
xbT1Q73aGL4ydlic7UBXY7VJc+FvRW2Vh76m27geKggsHg3XtapKRONxUgA9DsXFQtfZdW72NiGF
vYhmo7+WLpRhwLeNszL9ql5Vkj9CtFux1bPBXHd8tAJ3rIv7Sfnmc+aa1YUdpuGPvuinzVCMdhC6
WPWrCejWkDKlMnfEtd9MRKutoAp7m76OrIu2pVfeZXm5ZTdaPmBTsw54aYZfdciHxmgdfjuGn/sp
tapL6MZ9uo5dL662k5WTfItJkA4gv0djn/RShNx0Bul2V/mRvI3Mudq0iM84b4owJNuRcBo4LaKF
+omNcFfrqLHTGq6WRhrAutC5u7lg7YRq3a7dtjSJ1GR9i6MEfxemDvyDBL1yiq3gyVK5PVhFn+zp
MFWXhg5d1Cvw0Hk+/HsSSc3nKO7tyzEy0h+RV+VPzpChiWqE/F47hfkccu9y5WI0/C4Lq5v5TX2I
MMWVfksS28RyMzoWZl7NUvlTM+CiBodW3ENUa3+EPBrcY7W8dbr0TTd4px0uimcSnd7GZggfWmeu
LoZldY6bprqccrbfO5VDV2F58fMYo7wzfkGoal3wUWnXAP+TfR/lYsVOJFmc710Jfgw978rqouQm
EtKHvxiVbw6Ejhsg3zzELqeGaWqD563eZ17ewC3AKO9dgRgvtxkEkGeK5UAXLJChRS2jR2/GVARv
Jcl++Fgc4Y0OEI7tOC0wUxAggr9VOfk+KU1dXhtdL/2NE4f9tziUmr81jb7xkD8Cdl85eqmuAOPM
zx72gcexzIo304XOzj1OW1xT4UK+rAMLvuNTxeR+FDCW0jVOBtiTyrLBAyEw6TGgjYV/pdA5UMo1
eQVtOGbgwYmiIPkvyjSaiI7/1NSKaWdBJ1z3Fl/ZGe8mFhm5uHzwm8RPNNyjnu5Gmb74VBx2YNT6
awSuRrRKfODOTR+OXwbl999mNWd7FNEtHQlNmckuhQUzb+fUy+oVkZhDtwK4afxE39L8NmfmlqWF
k7HJB7v52pNv9D1Kofu5U84yPlb8WNVp4kDcTkLI8QDB28h4E3YcZT/qyCwP5A6XWzU25hrk6hvR
pP4VeZziwA+BCYo9bKNNTT1s4sKJb3Bwj1vSgBc7H2+oE3x9EW/n69hTwO/IinhIe4XHL5Zj/FpK
3w7KzAGm6sRQTC2j+yabifDposKz7ncMhBm2NAaaBJAoxfRaw0PYGPkee+5r2yl3EzfjAwj5oK36
n108JYeidMxtF0Kg5Wvs3scdk9Io+Vm6kffXfav8bZQxz+kxhyDu3OzZA8p4iYNkB46bjM95lO26
GLImw5CaJivR5gxqVsXxLs7ltCm71L8V7Gt3tcaszzrSoXtiMlaiAdsyK1Y3SLv9/v+xd2a7cSNb
l36Xvo8Ch+B00TdkzimlZtnyDSFPJIPzPDx9f1T1aZSlAxvV1z8OUDDgY1HJJCN27L3W+vR1668k
n9vI1WvSCvfGZcD8mk2Yv82h0+kljfqjAgp9mnqeKETE4ZfeC5k8Z3O5GZhwba124TXKiZJFlLHa
M0RDhCouPxHEZMXc6XZT+1LLXi2LhbJpWD+wuTt3S0IKgAEuYhM6UAywh/XuHS7e5kofSSgiAYrH
kDjqmkjyvN8omDVBbvTlxh65dFOWzSHBmBRgphi/xYwQqiIr8BK2uB/RPG6bJLtB+lru4pEIjLjN
q5u2Xkv70ijPmV7xMI11DBM51yVzDe5OEnqwQGzQ2W+rLnyLly519R/ayGo1rM+IpS36JQ275KKs
KdoNoM5Y4yhmfCE6i2gZa9cSaRDgO4NDbC6siF05BcNil0/JxB1anLAgWNtpAjbcEaVZx8qdaU2D
ZssuHocqCglALArYQH1+1/asPSJi9Rg9Xvp0gAo2gKrcmYT5+1ExJBczNLSvnt5350EAWEjL/sZN
2+zQ2tqwVzFNx9yLxHXXJDcmRKjPQqn2Zp7i7jpUyyf80eMnN53djTsjaZWLbh0WCDnbIoYGSlZW
eJulL06N3zYx459ltPpRuuSJ9/m5GTTSplEhkpKSEzGumQzx5pYw7RICCIv7V2GVoCIcNr21bXYU
SQy9pGDlbQpWHC13dRIbdcJUF77S6u9FlsgDmnl8BzuOf6R62wQHsW8XAV6VqT/QvZTNvog939Dj
avS71lPkamcZi5ninFnziCgvXxF/6Ur50siZrpx1KkreFeyKegEuXpk0aMyo7jSCSMZ6DZgwntrc
yE9jbcKQcjqtCkq3r09wYftNr9M9zTZhPaEIOs+jQUgsm0/WsP7lzhje18aIB44oV7zjMhny+AT8
1MS/TuLJ4J7kQDqoD+XXhBHLcYBWlb9gQ/jZziomMWRI8x+VhaBCTyLnOLlOpRN4TToC1Y2lAQ2Z
WNdnd22EkEPSdbeF7WA7VhKXf9C6kaLdFzdyQ9KSPuSsPe0XN9XSLiCO82FU5oQZV7cjKoQ5lIlf
OfNwKjKVbkjO/SrdHsqDUoQLAo+XFs0jw+b9YuEY7sBZi5VIIgA6OKBphTTmPe+pYfqlItykB/96
MGokbVMdvqaxlZK4ZaRkq9COJpCDlF2SWC+AXAl5mCLyswpp9BCGM3O58LpG36LMQT+W6q3wM4dg
X5UJcUwmS3N3TpSzvkmb5VtGVCcc2OToj/jyrE3FBz6k9InywJ2tP4GpPvYW14KY1D2LkSoq0fen
wArxPPFzfXqI81ye+qHNf5YmBlN/7MaWUHYIGShFiL2lD6b07rKivX09ZYpd6ZRVSZO/snEVJ9eo
3c1scNRpk6og4H7urbPE6H5VMPG6Su3Wg11QJ5Xf9aF1iFZZuUnwUrmVTh4+YDaSr6ZNg9L3+M/e
FbpzN4c6y204T0gBkkR9eVsDi4JMtmBcUuOPDd/1mPFLYQ4PlFaMpoGSMkyE278W5u1CWlPfatmB
RG7WXmMEUI3JymHGTM1ENFNymRmckb6+UGOlHllmLH7WmdZklODq/tO5+UMrfv19aNigAkTb/UEh
7EQkIqGpyw5NrpO7Bc4oZX8ZHYiqWX8fzmz5vz/xfTio8zAgueJKEIxpO707HbVysPJorDKy0ClI
C8KD2KwpTYoiLs9CEg7w++t9HFKuF3Sgh8FjNc0PkquiodiTdrqK/8lsWrMByk3SgrnaKB4sKHPe
NgVNdGNb7nj7tgXDNWMiHxujvot1SE0E3lmvpGAM+4nQoX97zsaKyawLCTNvCPfl3f1AuTHajJKS
g8d5e2+JqDxXcvzTO/ihY8FVaFRgt8BFhbDh3XmwT/ohtIsywRJG5Wojo0UrbQPVMDyKfDslUmRW
VO6EFw+ff/8FGGun4NdHnvoA2veaYgjJ9v1ZFMKgRHA3Mgxuxyg8ZLL0rkQYel/ynrqU+H9rvvGE
5T2DLntOvbkGgWCN224eiI/ryiJO1sUOLnMNlsDcRl1FLQdp/UDx612psmi/1+GaYy9CdHR/d1z+
p1/9p341IkUekt/0q5NvCCNfi19a1X//o/9glY2/mCPxkus83Q4qTdbC/2CVtb/Q6epkWNI8ozNu
M8n+T6va/QvhIKMKCDroM1GU/7NVTfwZdoa1dclLg8f2X0QOv5fh0tkiJlWiBGEyAuj3/cinniCj
1Vmrn4tKDh1YHsBb06GxOKWTcF6g1yjjmXAMlepipN7EPEGCfQwkofUq65UMusLQN2QKrrWJpewF
3xJ+HKnOkbFS2Lyw4N0CPcQo7x93+vbvd+efve93ayi0mdUlvg6HWTiQsbx7m922h4LVLM0Z/+10
r8eFCCxqpKt5cLQLUSYcS39/QXaCX1/iFYaqMXSQhObSVeKe/bpviSQjyasvo7Nte1dkzhMRlA1s
9XuEfVGtEb0p6oPeaNWLh7K0noJeDo48eDYLz86KCFU5gvtc08YGjF8+kZU0MYyObC+3SBxzWwKN
vkWPrj9mBkbZvQyL8kwWAYY0Gips2XoaNrZfNzAKAwuzdbqLxoJ7LexhugeaxaELsPwr4WdlCznH
5VIevYBo2zjhWvFbJOPi2BS0BGy+ESrbru37HRKRGRBcYjw2uslDMJqs9Y3J3jsj1sUN1xHr1bg0
EQInSuZoiyRhjLZ0VKZbLZYZZtM4Mh51nSROP3FaPhuRIvWLiAkUjOyRX2Mib3Miq9KoXoxhJAPD
BsER30xxzm8E7Nk8ssvG01NTrxkwnHgN/dFQsd4yBWUicUE76IgdgA+7+myYfRGfuqbl+YsgR9DL
Is7hfmkK4xGTrDF9ImkeEqFpdNy5pMUj6s+cmcpjU7mUdwMO5IXYEcGls2rgb6ueuNUtAXwUVNNS
k9YviKSIb8FB0c4riR2L6RKYfH6svdYrYMDwuZ85cAw9qCTfGwEKbWqsEai1+NFaW3OT4OHxLdiS
UdfneGSvPcgFXsOW+2j2gZWscfkJML8RB0dXLw/zUvK1Dqs7+4xaI4tPy/qVOOvN8QiL4fsja+Xs
1YLGRpJ1wglITBmvYziAd8LVYuJDJ15e5udE4tRkbWILgUyTERhId8NvUEE7mxKe9laGTrTJ4HOR
QzVO86PdGd2F3YeDUa5I/yI5sC9fI9VZ1/Mc2c9icPTLOFTZLZFu0atBZ+JA41i6QWIUzmsRpcOn
ygT0s9MXHtl4hI0wjEPnBrFaC+qcyFAgT5NtTVtCrr1ngWCzuzPgptoba3B4bIbG4faOSW43N1o3
WYz/rUgUyFX62gRaPUuXLF2O7FKAusonvrvEpEj4Oau5r174Y65+ogec7pNco79gMzIPyohnpAXf
0AccW/XH2Vi/+SyFzOaLcOS7Tcclo4dJ/OsLd4aXCygEL2ValWO4azVAc58BLE73lI+8CGJxuMGJ
gdBpn5I/c7aMhZZkOLUctgdFw1CFxnTL8KI+9GQ2TVcm6aYRwYQ9V6FDpRaMLS19uWlS3Bfy4KEV
9ATWnUEmGM1juixCPBOgu9RXndGI5naePH6TjHp4fFpyznBPidTy9D4cVHOYctHUdCJN87hAzRj8
Zc65lxzouJeTNnIK8LyIG8EMqjmEmZtNVA2ExJyqGtVp8PYgp5PgiyNXkffYHtaXomskP2UaTdbQ
QpbGY9ILHVSF7sb25ylze+NGhR4LhRvpafnNMUcdRKJLox9pCdcUULEnwvuiRn1p9GaMIH71Uffd
DN0u/dSwQujE8IaL1dyUeVHYLrWNCL2tkxH1tzVSZE4+tkF1amtwhWg+G/2iYE9Nn9w+rNMfllMY
Bg2guY7I4dMGw7jJ2X+W2jd6gr2OYWGAh8HrZWvaMTZMDuj4YmmuCyTWX5JpQWudRO6lQAnx2Rr6
cM0IfHDQ6o8BkM/+aS5nsSX8EkhoWbWB2Ufx0cy8cENXPIHrkyCC0k19JsvZya0DbRd7lTYr4B70
sDnb7CSn70IxBJhBS2Yw36rK1Z5b8GiBmWtfBH0Wv4Oa6adzQapePE7ugUCt6GvWhs6PKSJMHKZE
cUOAzFU/NvW8TWHg3pHGEn2xzKHY5mxSG8o+856hW/FFl3G+MwqNXg+pzATIQ0S59SJSDJ0q5bBI
CnB2nVRR9mSo1vE9re2A0nScv4cJzTixfwShjdXNkC35lUV7YduPTnbHsl59UV4fPwwyux0dbVL7
pibeqZ5J4dGoO/cDOKiHqLWzJww5bbRruqK4wnJI8zWtF2BUXroj4wJeLe5mIgAdWick15aPbDrV
58LKq3ijlrbYuYlWfopte721pPCAJbD6IrAd+DiVPZmQkoacEDqn/Zk04F6yXsqDsfq1yD02LiTi
OXITQ0AjR2ymHNisnCC6oXm5d7N6XqdcZnlco/p2kaXfqbCs9hpSmw2pQtVnlTa0fkCf2MeC4/Cw
nXOnv9SdDB+8Krb3ol1SIp5Q4hEPsLjofGz7IuKuPrNgzwcErvNxFLqHWC0dgZM2JOQZsg/qflaH
uGjtxyEZlu+alqkzjOfl3BSN96dg/3fnWOoTnEr87+1QicPs3TGqLnPTJUGaCNOuopdRrD3V0WQT
koJ+rNKG8gzgszn8vi56NyR9u+qq4sGPSNQ/PrpfqyIZLrETj5Z3qjNW0QQ/Sh1UnUGN8fvrvJv7
vl0HUxuuR6q9VfXw63Vghtt960XhSdKkZk3VGtbsYqperClkwfj3F1tHvtxOHEofJEM677CIKAJP
bkbLuCxjeXzTB4ik97a/v9THQpZDOcJZanEN/dv7QXoNFLUiXpZcLWBdl6Kn9LYQudKG68pzu6ow
//X1oKPjdiT+ziZI4t1QG+cfr22WWwRmxuHz31sQwGd2DKtYRxptQlDQH27nu6M33x0fbhXsQoLg
y3tfrM95JDuv6eSpIXx58Envp/hhQWUHLqaV2LMiW8xA5AN/1mgoT//6IWUKZ3GftTXSH9f5rw9P
WUji1bPUPvV9ssYTCfM46eOf/NgfXwWugnbOwwBsGZxMfr1KFhpjESatfQJBSN5SUiR7x/2jVvW/
XYUDJTT4VXfxYbZud6AvLcFneVNe2AnjGzzH/x+PCXwcUO8upx2Om+/uWFozmiUz1DoZYZOQGIw1
j1z+kYE4kg790lXTsPzhSPdx/WJNZw3jY+Ew47K/3j64l+E8ZrY8iTK0P+s9IfWLNlCK9DgitgWg
QIOM6oVH5PdvxMeVBSEikhnCKjB6fngj8LcnEGqJkE173u6wZJ3sbAQzi7LdPzhr/stH5OFA2kQN
jgD3/WLpEI7FpXLjNBFzGZBTUZ6XlvFkJtfu83qCm9an5t9/PjwILsI2679kZAwaELMY4tAps5Gx
FDmShUxz4z0HnT++6W9dtH90unjVPboTKLel4znuxzdtnXlqrCeMSlvP9ZWeW7jaHC27B0DdXEqF
dodeM2XyNFLXMXib28tQD1O4Y34lOVyUTAsjo/2Out+k6lwKhu9uald/smN/XHhxo5iYIliRUP29
d24UiTUmswh5wnN6pkESJtXLSn1rfZz0PGrKo6z//Tehf3x3Vys9dSWtSARo7/uAUUa/JGSPOwlX
UOtOrsn5gci57rvb6GyZcPXW510l+qXus/plGIiH3piJN93XrVFnZFL2y0oUHpN9N+sgJX//C/63
e7IqJ9GpmXx3b33Mf2hmtLqNF7ho1ilfXIpuzVJf9IhJOWkqReIz/PpTG+fDu4eocH0baOXwiJJ0
8us7X0MRpugnqxfEGvGymmIkMtcFj+m0jjd+/+n+28XoG5FJQ0LHx9A/pBQeBmCividMnreqIEBb
a11OOZZWcUr6/cU+fNV8MtTUUl8N1ixn7+qiPBV61YbaTFK7xcEySjqeLF5ETom/v9D7FBCksCyX
a/GAnpEt/X1lRBZ9MtmVM1JBNHF7q3GG6wPhth0+QexW7blSA50QGUl0JmPM1C2rSLGnl7xug2U9
3cdJSp9AjByWGPYt1cviMD/WhE0ri66XudNI0+F4XoOw3L8BJLqi9Mr83y7Eb1kTjMnY1xB/vi+F
EpKxKwdq6slYmB+PTCnOOSPzfaTBQ/v9TfvwoHMpngHJKICW3oeJSBdpRjdMcXNqkBMfXWIYMjLj
YdcS5FKeV6rBn/qH6+71j4WRnj/rIRgl/gue98O3VCw5MduNJU82kQc/iB0YTo0Mvee3hojtEEEJ
wywD5jtNxh82AOP9IyJXkSZiTZMrrzNIy/z1NZMZAgN0Luqk63SSlo2mXBtn8Uz6pWkEuMTcr7ae
pnIzlAx7L16EFIKY7yg5GN2MkoIw1Ple63O6iEu69mtqMu84WPQNf14cnqMmt1u17/n5tw4Uu4Kf
BNPl4KEHYkycQgC5s1TLjH99vKArUT3MXUNo/AA4ufUNu8WYPE60xtqQ4e05pXGEfqIeotUMwQj4
mnDUtNlAs83vRroNl8buBMjsxL4lqUgse2KlGe4OXbHgFa8NjQxmpZGm7Fg9jB3wxVddCvUWqRmG
702J34cD9JKciP/VAzlkFsSXXo9rQmT7mpxJet/aMJav5qJWVTVwGppHfaVn+vcRIDJNcaF4X7yp
Wpuhc5TGt8M88WcHiG95tEl8x7/SkCd/IEWFU1FRL/ztUjv/t/iE70rnxcvWuqaueNfiIrPmn3TL
wS+nEHs5uM/N5KXHyBXTfUVmf3yLSigj1zmqh+6uRXyTb5Dz8HaXel6l9+WCnGTT9J1e7xhBTvcp
UV1XkW2X6T0igPY7HAw+xYjaY/lh2kUvr5taX1tRI/HE/qQl/EM+uvVqjfy6DxXCZmaDhpJXA3dz
oKPR05tLYKlOO7uauTx9EDpX3RLTCHfz2Ta3iAf5iT0yNBRZo1kc60n14mGCZrIEdbqwa4HwlrRw
4sxsjZtiHKzuXk/IQt+kPC7xLedVqJz67IxVgHxPHoehaeEV9N0ggqUqKrLBjdXJvkQ8QQV8YlSX
zpg4V3II9fEYw3wK2Vd15Cxlk9HTckl0W/YTriHDZ1pOl5GJ89Q86oXVZHvgRjxg+K/IVRZJw97w
VgfQs+fpWyKbVkNsM4U76bZjzmfyaCdyWklxn3563RLeugto6b9bcFbW88uY8aQ/SmVYr0kYx+G2
hdCEVPrttbJXyRzMDPM4OqZyXwtiN8iQJxX8UZ/0mCkou2IdGB3ChqCxLZ6i2rVXsVlmcV+Ndu2Z
m6rtvyJOHofdhDDx9u/RDAGVr6FlroVEJKnt3NJB5amrtRPb0J73K6I3DhPEmCV42/4cu6fJGNO7
cq4sKDaLn2rJpOAip1p7RufDa5pXgklDNkturAwHae6UZ0TJXVvU/CK6Ru9kV2VGS2a1Xk9f+skx
xUCjx0rTe7ckY+famjL90VaqkAH0p2T+4QomGVv04oa8m/WKLnA8UxuTOamPTs5+zBgA7HZMu4Jn
RTLNQZYpO9P5RGGeAoGzmq5kiJsBwRXKD0OEAgFLuAX9vGnp1s8ZTckdHbTFpSWB2uyUaxrJ8JAj
ps6lQbb0gxr/3vH/Z076xzkpb80/tt+Pvp6kKH60Zff666D07V/9Z1Dq/cUxk4MD49DVvIAF5/8N
Sp03dw7pU2+z0LcZ6n8Gpd5fZJ4wVwf0uB7dHDbdFi5B/L//lzT/WpmTFqpi8hmAT/67QSmJI7/u
34TwcggmQYwDw+qmfpO8/6M0NpEF5GQZaOdCE2Vc98BfbLGZ9CIkzVafqm0KvrX0Z3MAvjaRz0HM
d9WZpI9nDvCKJSmYM83t9YRkyitRVSOWm5ZMymfdo7rajK3+NXKN6CmfeidIItv6NEjZXRP43t0u
eAjDXVIqsnFKpI7X0chfwmSYvGovVEzuXKeKs6OmBYErpLamM7+KUYbzmWnU5NJgMbqrQXmyeDLT
sHeuWoA0Gvg6e+wRaeXmyq1bh7dGOzEbKzXfU6jm5pYEx7SdN2ajmSjJzf4FNefIrKkfcnGdmom1
1gLEfexSvtsH3LK5HZgGimMcm2HypMczskLmXzBFEkV7VdpW+x2/cv1gy944tk4X741JgUhDjwjU
LAlarU7INqOtv1dGAgrRTG9txQTzwP/FvJ4RjOabbjITKE8mYSMok81tp4vXKYUq6GoqH4/sFmwU
hWduiUz1kEu64AhoVNbWduGYea9rmXU9eMyj9K539GPveTWn/sULn5fcdR4qxwofm2423CM2DFNs
VFtZ2TlrJSszhBD1eRibmBQWwwlSJF/cg2rwayLzT7ZXZueucriXfT4ma2UTMhue5/Hc9V3kBiKq
4q2T2Mt9XUQy0fYhHK5DqtsEXTR0i4xuxAUMuB569TzExM7XaufOYXiQZW58rhZzzkHniOXRy5xM
+l00OslBCs3NnglW6ouniPQeR9v27LGT2JJC77XtntnIrLXHOLIKkn9VZiX6a9QuTcQ3B2LGItVj
m7cyMOpKXgBLjdtJC5Hxo8o+0rsGEBHa0NglitC0HFWQWE3ky7LOg9j2OgTVXev6a3QvMAXLGLcZ
cAWCc10SB4XzmE7WJreMY9Q319YKwFnGxQfje5H1UhNjAqdlAqfppMWuoDJ9EiK+m1Bs+Q2X2SFP
Bso4zC+6NsJhc5JwFw7zA930FnIf8RiLXaurOhfasbJkuuvC2jh5OGr9lHJ22wpEtbmckpOklbQb
3TI5i2xejhpcJL6gzHiCKval6FwZ1Hrk+EDwBKpUNezKwum6E4Eg6khV9rWhmjg1kCDPBGb3m2XJ
SX2u5j3js6CVVb+TS8X9EfUmyUURRLXwBFJJFUNJin9YS/0ZQwRQdqYPmOe0BRVek7oBfsVxg/gp
ugLeQBhHQlRKTQZdlwhYZGWi+4wZwkA2Sr/lt1dnZc2iYfDYVUcEHv2PatVou/BQ0DjG4wGaEv4R
NsgiWrpDWdcIV62H2szu4TheLXpIXdprK/jxMbGBoGitd3Ki8b71kiMHFWPjavM2Utz9iPRkd5BP
bV3v3Xm6VhAZfM/qp11TZTDlQoZpUSifbZTJKw2j3eh59iOTWgPiaITIB33nIRGEXcDECbwOGkbN
WHmaE/daVujdVU7gvka2tk+AiLyD/sZwa2oKhqPDyLNV4b3n+7DJrc7bQMRef3Cb7Nvi4OGlyPdO
UJxIhG6YmJGArC6x16kDGql4w1uh30VxfTdAOxEuH2opi8vkSvWaratZ2odOhQepFeeqMuR9YtT2
qay6OOALo6QhsgOdcvwZRCrljDH9jLtcP0ROyxElqTOfEEiilRhcnlCtmduWZf2uM8fKjxbbO6bK
uQ/t5o4xuLZjmXDPpRKjE0Bm6z6xrvQbY3DCwa/MTl2UAW6u7tJur/FF7bSy7ploWfG9OU3edTNp
qBtEB9oO2lFkQGP1ehTX+Q4YBqxBVTmEwrb3LcQh7lDs489UO2WmJr9eKV9jmVxSM2Z3qImtTnVS
jlX3mOFB2Bn5Ej6M6XhdiboJJhBDT8hanqzIoz8vhtd28T7bkXE0esvmOe4rAp6yyUcXuGvH5lja
au8ZKuQu1vJi6FG9H93mWwGhZWs1S3sgxeKxIuOVBzhlkpHH2XC26lG7xLp533vVVdbGz3YK48nI
lq1GForPSrvFMvNFeiOjV2kF6bqWVsK9dVtz3yZqup/46pBYD4S5sYy6X9Iw0j9ncB42jenwqgnJ
idUZrpElbwE4nTgddztrqI1zYyvXr4cKDiRpgnGQzpm7RwW+HOOyO5BxcBqSMN13mZYEkScqRpVi
x2aWBUvoIVBFK8yxUPbyG7CwjgUbVe9lXjR5F+dScBJu6uusx08yjwMYSWXFX6vJlsFo9FdTUrMn
jNmTLodDAdnOGxY2VuVh02m6B6C3F6xx+bdhKgjcnj8rJ822A58H4UCZBiRXJOdhNo+ITfSdjENy
ySNQi5cJyNaA7LyuNj2nsLOVWNFuFubst31kvoRlX8Eq1sFlCYaz1dZNWZmG3CxuIzGghy6b2A46
9rUqIXZoLi21Id2u2hV91V8ZURGi8jA4vPRa4oemeIrFuG7PY7Qpbc8XrnUZMfI+I9YobrSoGghD
nzOJUndeVH9fKOEevTZdTtNgPslJq76SGgZdLMzRRuxAVJorblInRk7Kch4O7LPGdui8b7kYbvXY
QaEux+6+tYrbsRCCAyRQnDnub/Dqfmobs9mBXSlP9WJ/cluCWaYEHKZA/ELjctgYRVZ/YXmVhxGt
+qta9GaLDgooI5G9W1UO8d7ObBh4QMOCPJV82HZ48SLSiQrNFdfAeNJnDGajT7yK+9MmWXPTM8b3
rdjMXkvXmR+cUSAk6d0XM7WqIHdz59kBpLYRoa0FGKzUYxEVGnoKmqeeQ1yEaWK7m+T6EvGFKd+c
zHRXM//mvebXizjBbHP1vWrSr7MmnHvPK4ZPZjsAzerjC5Y0C9sBW7ajKh21ekLaIIfiRvqV1mRn
5NXlQfW9pEYoomvdyA5dGqaBsJxqy4CjvEccUQMccuP+DgqRe1gcu/4kFu8AE2l6HPCk7UBvekng
LWlyVXTd9zp1v7E6Z3glbW/DGa5/SpR+tgvT21cefhsLkdcW+xEbBIfrDcEmQxBbBu0XUSoDpQWx
bwQK11dKb+G5de18leMJO4ylPm2cuP6WRWR2g99N9NuqGvQHFsgWwVhvAkC1uzHO9rKI0FXkMmXz
akXxUjO6PEdAmncZteDz6qiZsVhk7moqmM2HPDb1rzRU7K9A0cBxLitDNIzx1dA2B6HIPTews6F1
whGDL/Hk9Ivwkx5HgWnchBxUTN7booHvHTOqz6k8MHQlQxQToaPTlzw3aCR2aT5ED7Dg6GVdU2gF
eTE8N95yRNb+nTGWva8rUs1y5mX4s6JVnAJAbZksz2eT3POtnSwloQ5ykt1kZan8SfZfhk7iQlqq
HoReaEIqw2TUhDX7X1oeYllU/hxWnY/OLTuYCA38uFE4MGCUh415UbEykQnBRskq2z0ncY6MsGPe
lDoeMrN4lw3Qt8gskXtN/9pnMQUTegjwEOETXafcz2pjEwpp4iSsSCO0GhwlKmR4OxdbpyYjqOC5
y7HH+QzW9KAURYXde9igL6pZThLLR0A5+G2NxXdJ4y+jBzOAAn8HiFz4uVc9YWUot6QooAxK8jMQ
iXmjdBcR3URpiLYNbGDkVOyJWXksS3nvIS7Z25H5LSv6J1Q11o2woTjnnFOMzpp3EzrIoKm6TSVn
aF2V1VyLBq56swjjmaEbDK4sz5+mDuAYvUy2uhmcj9Ih8pkl2pCYgapvqJLOGthzjJcootBpBUkZ
Jt/TRt/okwMNFfHmdspsf9aINrQnN3xy9OwKy5e8NBIXal8XPyl+Wz+N262uljKIRWrwlQ5IHduY
SKE+f2qkAoSFSXSH09jbSnLYKLpdSPZCZddpxOIyY9XeeZpVX2w3/Kq1DQl5EC728ZhOd/WMFNJr
bT0gzYeqR8c0oVXqUkxzf8EnE+QlzMClbdaeiTZfcC+dBIHVeKJKM3CGgQG854xXTH2/l5w3Ml28
GO7yGlX23tHb/opj7szNSFHWLMfQTYctqrR9Fv8Ubk0ys91qV3qrqkOdNrcgNM7FFLM8xrUbIF7Q
dlXF8RYxnbk3u2FvlJZOt0qd4T2xgSoNu6n7ZDkxsT7J8jo5/bewj76WZcrzU5p3fXftlOFTOSxw
aaci+iKEQX66zI5dsixBZDpXi+d+disMe55X7lM2Rx/SbXUJQwPPUaHpV1JWd4pwzEC0Sgu6Hs6o
n7qRhs+uHCnPxG1v14Prp/m0sCWokI/LTlAjPaji3eySQdzwBH+Zm/iHmWKYMMNx9mPTaBt/lNhu
/djKX7JSES6ZJHpOgLJBcttUmhkFXolB04ib4m5EVnkYxFSvfth0rxIRNUFlNFoclJgxXzBXINOj
+ckhp6qfxt7NaHTGw5GqOsVjHhd76RVyV81LdMaabO+aon+cmwVFdendeG6vbotE6D+tpO3PS5zY
p8p0m4ORzempL8N5B0O8eZQF5iu3MV45w6vrtJAc8CPtBhfOEAxtGV2ZdOyCHgX7NS1jua0XElDN
Ese5gii4Gxwpdh1TjU2TRBQABZqvwpSbCN0gbmTmdUnbrbS1WTDegookCb+3K2VujTgLb2xkwgQK
zV/dnDZ8bjiIdjPuGEUtkHJy8xo1H0kURbY4Dhfkd5QVbYwQNfW+4NtJNrXroPvMY0S5lVVQBjXL
Zkz58a2H25F3J4Kix+OajzsCjIiCBMbKDEXt4lLLjtSNRycvUGpn+bBbA4m2rOYQIXOr2Gb4yxW2
Fw5T7n2vhNxzFKbjYk7qZUg9+H6h1NJrtmp2oZHTwmVuvTN5aa5fkea6MUDUQ9/NA0HL2y91o8Zi
3Gp4S7Lk0KbgMJsGzC1KQu3cpXV3akvzZ73012TyQ97mbGEsyUVndd9CsM9vVcPXWK6ERi81tnqW
jYFAVebbZdJtUvTc51Gq28RA3JiW+XVkO8+l67V76uuahEEe/3aadoWu7UH5DPjDLc4yZJXu+pSJ
gkC4ifCx+7GUFUrC7nqmf+83c0iH20QTDMmSeUYR5CIv/LGL+XgZ7RqzDdAWsypbWnggIww9eFpZ
FC3zaeRNDfo1IE3rO9ZIgmUhCAxfB0d9TRzr6Mr6dkJ5fUza2dhwhDyzRD8T9lXsZD9tOWrxJNPl
D7qhxYenJ9oFZoixd6eRNsrCpkvPF9W2fo9T9+iqfrsMdhrUNdZmDjr/h70z240bS7Puq/QLMMGZ
PMCP/yLmQREaLMuSbwhZtnjIw3k+fPpedFVWZ9qJdBfQNw10oYZ02XJIEeThN+y99lx8ql2Dsck4
juHOZsbM2flg61jzEw3dVn1PIw5H6BK0g51hAn2qVj0TgY0VJeNJkhaw8tziS9GV4j6NDT7I0NvX
Yy03KA7njygq7shM6ODgWfbGac1d10Jwdon1BFRWesbGzwK9osFJH/NIfgut+trO9lmF/qtj2UzF
XzsrJ0M3fG8GTQhrmOC5JamSmG2xqdNibaVVusFV9V51MH4zQ32WtSG39TL6X+zOyiaINZtDZiVz
KuJNUTALkNZM2YJtOi3Tu0ZyQK/bvvEnZL5ucJv3g30yqOkrZLVEP4wDTflQ64Y/xJMcwXuO/rOq
t0U7Fc1GdgF7ff9c5dYZo//aTyd2N5PK+h1THBQ4WU9C6WwFNU9oXfcQBOZm72LKFSssEs0xyWoW
IJxq3YrdYePllMY1JtSJirx7NHBbtrs8RO25aww1NmuHFVt59ukRNMeH3WPmd4VV26uC98iLKmYO
vaHNmx4LzJdWTYHq8N6LlonFP9bN/9Pz+v238vqaf2v/3/IXv1FccM7J7v//+ZftP34dfyuX6fef
fgE6Ien0ff+t0Q/fWlKyfzfsLH/yv/ub//Ht+9/yy0k8+92/n8S3bcK/YQX/eRb//et+n8VjPzKR
ZCx21YVi9UfTkvUbyy6wWjbain8O4R3+8Z9Dd8f8DVcSykJhI2j0Ay/8d9xJP27MhbfM2vE5wQVE
O/gjU7Q3O/CDg4zZHxbzxcwbvXfgCicrl9hza2PGsnmDIVC/VcSY/wIfw3Lhz/N+ZKYesTQ4X33H
ESinln3AH+b9jKJrT5HWcMxTUtuDWM07w265L+ccsZ3XSRP4swerAq8OD0Gr1gSLD6VdoAQv9cc5
WhgMOBBsJvYKwv1KWJqlpoqQPjFBVJuA3IKXuVLNbK/aNOnnc5QEuue+rOytgwHoIoLYPPBdcsBq
CQz6Oshi+BakIVvymoC7XSMdgdMHecgDtpBg3aQR8PJxZBkZ8P1WjtT7AGXNqfQm3je/mIobvk14
v6STVa+krM071KkKvAPrSI1YmYeNdKnnD5mu4r75YEENME4hFZ5Ffcqn9HWIndjfjSKgsjaHKE62
eR9PDY85aXgv0hTY/rHEiE6ey85h8b8aqafHu9oOYEcGcTjG11kYMtyVJH3EDyRg+uhLVF67INBz
bNp2y8xsY0jTIWXZXf5kbEkRPE+Nqoo9Y1PUNIaiy/C15NSMrBY7izWGsxPC8fAtQqFWuR+ZAV6p
Iv6Szzq+HQJdbktzzphOB7quVsyqwue5nzqDE3mctqy7g33vz5uOXy2b/+bNS+vhGlCytmtlxs4h
Q19BDwBMaIwgrDQEQYQi2+dNbl4Qb7FGFruqGcIUXKvPs46KpHbr6o6MW5sLpgpMTNnEsBtaRPeD
r6ePPEjVsymhsQdZIdcOtpt1lyjvm1FM6QMKHug7YqoJsTbEThZWQhKwcF5Sj7HNyIZ0kwRNcUxE
0Z3cCHevZWUPEh/+/TAhw0dnS5YYyIK9YY0+xUdxnIR+DDhol1hj0X7xSit6yEl42Ux06EcVk6Bn
jl1+Rq/XbltMNWvsWBnVuF+sasOS+3gqxZsfK+afDcl5dwNWntd44NFPAaLNq9AhD6cutYwT7Gq+
SpuFed+0zMjHGlqcY2ePqVHZL74fV/HadtVbAmrmyQ+5qVzwUDvKCfcY01YzIJ/yY+OM3yKQta8z
k8utqEjcXXEmdK+MF7fpzDrbkqO7UtV4Hlzp3WagKnbOMIMe8HG/HxoW4UfMP/4lKgNS2e0+vFpB
MVIyjt1RpCo74rkVdBhl+9ji7rt1Rq88KCd3ziMGtiuuGXZqceUBYJfWFcJO+lwXMn3hE83209Q7
576cs0NfFNVVwQp+qwBvLBnycXBKGme+q71uoKlC3Ik7xhpWURUGVDQdi27DYGRvOFNyIfbWuRez
6YME4JY4ZFMTsToIk+RU0Pje9gxEbobGST4h4ZiGlaNH81KpIbl0UtWPPeiCD0BGqxMOrWJrTIl4
YZqaPjWD3507r4RByqA8Jf04mO2dlcuctGERHaENj/tuJlXaTEW4a+rBe/cGECkImvSnKbUJhRLG
sVBVfuy86ILtqdjAKDJX4/f1WREfbVGdtWdqRqoOhbHbf+2LEYmCIg3JRGm3Kjy6Nctqh32TFMHO
lsS4z5Nff6kirz+b9ZjsMhcUhV+4431a0vZKYgsOZdM790iC9XMPtegN9+JwzxsS3U6oUD6xAbDA
soz5hvuk25T5lB5GnKf7yk19kFR9qT5CzM/QBVncLcaCig9U9dUx2HjMYc70YopMZzv5k7uq86a7
CyzUmUxGNaHN9iBXIa38+2xLVjgmXk0uZRopBh6P1aSGC2ivu4o55dUu7fjZDrn/Z0/Uu8nRyB9M
nZgXP1HmRXRKXA02d/d6GnoeFCRy3ZTlgvPJptus7qtsZXGjIk2PIW4wYCYTfewompEAnaqSlgYn
AgCm3ikufc2oKHA4api24vtE8GDXrvXB1yzX1iaYxnVb+/oN3x3R5aMRNgkFb5oeWnBFX9hUstRL
1YlnCULnurQ/p7Tsx6z1UJaSSfFoNWn7EJNYfUX3xSCtR5K2gjRbf2yLXjBqDubLQGH6WpU9K2LL
Gh+ypGSayN0T3BTjqL9qJn56jUAJylHhjScjzod91FrDdega52Rn9uL1qeunEXrP3eTRf2gXmYmT
TPKeJ1v14ou+/BJ2RfCuERqxaOlaTJYi/sr0I93iTWOOB8tohKdy1lPrbWCEdgwa+T7XwmjpFEjy
Hldmmw2vFUiYDFclnta1PxvoQ6RbP5H10W3LAF8WDOwkWnt+qt4LF+0TFO36UxgXvr91yzj/4sRx
uC/qKbr0VhSeh7AAKzLNzVGKkJG4gk2jbZ5vTPO67Nq5prhNw7y9KEt3256UG4LUDMg4HRqX1FXM
yrOATnYo+k+wqFEtVcyVWR0a7OhbZ+zvq7gNb2ZD6G+m02f9woPicQ1RLj5nY2c8Sun5L/A8OHoU
yx1qbnIql0Ob4KZ5johkMMPylj2qcwU3T4AmkcwbFWbaWqWRF+6DjgEd18SYQI4RBh5gi0glODTh
q0KavjMT5xX3S3kx4sL7EDIIR+IzOTdjJ1yOQW3fIZwz13FUXJYPENePY+3nroemUyQbkdb2BQRR
eoxteAqNLMq7Mradj0HYDdspMBgh16W3N/yUISbK4C06RBurWELeZulU2IDN9j7wYvetk03Wrayu
mjf9OIgPlocgoahbe2eiZXoEniddetXKvVNRHQELGSZxn8VFsEcyWq5H07kJo2bkY89dExUF41nX
n06is8MtWrP6G6AmuwNSwxg66urgwOKrIjay1esi0u1dNWcVWWRVfYBSaB8mIiXWs8dqZxxnMe8j
qwk+UQvYj5MjUsA1nhO8h7nRv+Rl6O0iVT17dRZsjVTcO3bTpvx8ZkfdAZQPwM3ILCXtUrg+VWMc
fWQXmKsZ2UY8tOv5LamaHCRpEo0nu582XsnjjSiXmEvTpZ1KlXcXUZvuLNJ/zr2v3JStdhOkG4dI
ypQln9tfnbivabqbJwjG+S1+XLdaR6yq9jzvit0AjIYJAW2ZkVjBwS6z8DawgomnQpC8UKD5TJtT
hum1jg59lUZssJWwV4HVWOroZbG15srGFEiAs1w37pR6eLJKytehxa1Iq/fgN41cjbMzHn1T42VU
NcvRDJEyF4cIGKvOkumnsvfK5FhBeEMxPVGpFqvONscPg5nFH01VZh9dmxrQRazgrllz1beV6sR5
Vkveb+xFRzOo0LDEQAjQWZQ8wRhXR0dwH0yKsFKmp7RD3sEqz0p6SkxRHug74/abA7awFXgwUdIj
U3Dq8CYaPLVBIdacvIzNMVZ558KAVl9FzRBYqAQaR1xPJ1mM8zam8H+embCnrv8Y+wCbeju54iuw
+CndU64C63OCAJkZC9z9OkJKsQpynC3zYB81SZSrYZTOpu6Ndls582sjNWMT4z6sGCYKOfibDFM8
Y3Q2Q2VXjHsTUPhaweSaaBHOSWbl24ykID4WZ9eDsFnTJfcbJ6O4MbLkdnAT59J67ovVshCdhq5f
xUplG6VC5pB5xhuTj+whckYTaLOqFWrB4sTG3GH3F+5kXOgTC49bqV37yWmwq67DqczXpl80Owuf
1Xo2Jpz0qnc2c6np/0mfDhjerOYkdV60YU8MPRFE5ID/ROQFt5Mv1bryC7SWXH6vBvENePejRzgE
/qEC2XdieG5eZJ4lmyEe3fUcNjzmWpkckyrAdtl28xpVvbfWbj+uqrKLrwUe+p1Qqb71TH64NMy2
ydzl9AlV0zGIROHxh475L8gTP7elvo3gg50h3IyfI0ZkxOgi6cPkmOYtbZ0xBaxG5pBT2uuV/8E1
CzpSaqmCR7apfmHQ+MHCQFfqQ8q3iWMOPYKOFj7JH7tSVGRsYeYqOVpT2bzNKdk/VZJJCG1CPfz9
z/mDgWF5KfLL+M/S/f5sTExQYfkAGnipyq6LLfeIxg+u4/Lb37/OT3z25YUQ4i/EfYAo/o8pk6rU
GhVMEB/7ipk1BiL36PeTvc2KpLurG4VNYxCSjbx289dqwTVxqsTylozNpblmp1dsv39L/9OToUvy
1pRt+d79eRb0fb7zX4Oi/03zo4Dwlj98ej8pOR9k+fXbfxzb7LX4+qcB0j++8J8DpMD6jY/SBojp
C5/Unz+IOfkt7LSUQb/Ta36fIrn2b3wFPiB/CeQ0ucX+NVVy+etczwSV833u9Pv47J+3KpM35nIM
3v7i1iVC/oepDo4crKguEx2X7wv315/vn5rhYpOzNzoYAbEnqZblB2btXbKNwdBuE9t7HvNhuGBQ
SFZpXz2TCGcczZF6GIYDCoFZqk3Vuvm9GPLijjisJy8y0TpUGSK90h1xDS6jlMbClelyxu9SLAF0
EsG1yqBd2pOFtnxsXiE/XPwxu8B12FPMRpuu8WhCR6TJ2dCH8DCS997sk2sOBWhdBxWmhAKssGkw
C56YzK7wLJ5LYd75VguHtRlfy4nBhacaUL8MFJoOeuiC5MvJKVvCXK6BM+2RyFfrCiitUNRv1vAQ
TZ4kjQ7hGgL4Xs93bopklN0rsyRjNcnkFWRyuSmpSbxOneDdvIEsfK51uyszDOYNa3YCZ9wDykN/
hcQBt3QbzWj+aLM751kN2WuAJ4G8p/HBbNRleQe6HISwq7L3tALb08ZdunMW+KcDgHTVx4HkwTg8
xs74EBaTv8bbEh+bTLyNkYJxLF3iWvVZ9WBe5wXzYYwtb4xpshtKTrbsbeqf6dGX+mGs3GfpqFM8
Za9NnQIw865sHhsfLku7dfmBQJm8I3u4czM+K+10KBwqJAKuOs0uWLaJtTmaWOZ77DGpMSUFGnYu
mjDbJPhNLTtfY/GLwv7cxsbyXsr8tbdYq5oa4kQ3lnq9vFYFaXZLZXcH7e+us8c9fJDzd1iqMZjn
KiiB5Cr57mT8Mc9KLkpNZ5sP54CCnn0QhgCervppjuC3Zp2fbRKBKhVlLiE/SZhuJDi/m4Z2kMC2
p8aF5Su96TE3vc2ki5EcsabbwAJ8LQb87IjZ3sJyPg/I+Nl9N8jD6uA5mcwvYe3cihE/jI98XrO+
hATTkNE6PM70c4QWdlyoziHO+YwMBKdr1Q3saZld+qWW2xGFzhr5tHMSVFYstTqIZdgrV1VrPhWx
9SacESEn8j5Uq9nJCobHuukf3Sl7z026RpO11KbPp0cnovBRCV0eHGbQwb4h11iLkKQs77tV+Fc8
xM9lXaQ7PO5XRJ/Brlu+jp+TIBEmf6PjPzMd0we2gzOaDygStgHMImKrH6RSE7gCjhLPfbnJJrAZ
ukZqpkU3HOqFZkmTMhzb3A+P02AYt0rqjMVold8WZMzTgWTDKZcIMmwjc946+Jh6aPwbK1TgVili
k5pEF+iN6UbktbNhGDu+RkGJ3IAVVbYQo+riCULDUz4ZPjpSF+Uly1HWwTK6uoX6jJhlII0g207S
1+vZSTZVpxsWQ5PE3wOWn7Ur8a2nsOyIYQjqa2bIu4LJ83Y03KfSsECH9563HXrvdSo0mjwoONyV
S9wM0xF0S+mqmoW/yxNIuLYuozur8zoIsFz+c2q/lbD9KT3zaiUHEwmabe2cAOgo3wXImpnLEOCc
uZlsN7x1zaDfTzYXnVbBc2D4154O5xgNzbsxNmfIg7+azv90ipPlvdj3uPWJKfwR5Udh4vbpiBYG
cr5aOUxF1lE4XROvvhCg6/+i4Pux5oLAT6wkJZeHa4+K6AePqnDHvvB1UBwQlJWbwkJfhudy5Tsc
6H94mP7F8+nH0pJXIhMqJMYS7+3PuVdjEExOSigNrjv1KiJOw+U4Tq1Rr1HJteWRfzJ3f/+aYOaq
P/oSv79mCB7fAUa3/C+//4c9R+wUQoYtkwLNunjrtcMjq/9sbThI5hb+7/LzZhnEkpbT7e9f2lls
hz+9NqHpUBmYEP8UzFsp2FWpDpdI2YYlf5mHdzry5XJcnFluqgOA6rcRWu1OjcNwSmktUX0Uy2CB
GRfBqXExn/t48eoDoBYLSD7tQQiFI5oijm/8XMixaX7qMr0UfrPLAYVNefxkejJnx+te0VwYTD+A
Gns02S8x0IW1G3I8/P1P+heXEIsskyRbMhF+zhezs0Tkpe0WB2kjYivNO5j9d/kMZvQXr/NX7+j3
2G92bxhjfmTAgCILJ6iBXKsig1mCR05bibs1Mw7hwhfppg0VtFUSArJB34ElzoH88Ax15/i9HjiX
l1IlVRQQlj2dY4NQAzH2j5Bvrk4z7GXIce9V5CDEMZrserKn59iz9T6HorOdEp2ce7PBCqamp2lh
pdMRu6cuCfPt6MMzcYvkPUqYexUKvi3ugHKPjOQ9KuenMO53cwdxHa78QWrvIGWBCBeBMnqu6ayY
Ha3tfr5jewPPyObvFqHxufGUXgcWNdbfv5E/bv+Wu8INwHpZ7LR+ZkJgaS3RFjgk0I1sNignJk42
dJ+Aw0bn8Pev9WOjtbwWqUWwWFhyCu9HEEFjaxgezGQOnhoe3Baae/mrA/M7O+OHO424TxsqA/8t
oDT8+S5PZM0k1TSLQymGatcmiGQg99BA2m8JhpJ9xwZV2cAKDfs6RgKDSpGdjCn6xPD4C2K+YmXn
bI3CLHUOOOd4yApOp0rnF8uK36FtO9sANtaB8c4MNhvOdm/O7U2W+NshrD6GxCusfMjSR+b8eo3N
FcwTsME1nMRqZzdAhh1R2/seDP3KtJN3OE5EzCbqMkzqpLxYwzBPKVAtKE2eVa1B5SbrweweysJm
iuTMv8h8dP/ijuWzgPyDYRvS5I/r38KuuqnUeXGwMhqFgT54nXSkQ9iG4meWvAMJ5dYm0+E193wm
a22DvsTKb7uUazlS7GD8ot+NEclMnW+VG1Ymz2NaOXgrAmyWg3/FhuUjn/HwLNjpBh+qsYY7V26C
VD+Z9vg2t+aKNfSHyaE6FDU/cGNMeyXNJ00hhuxEVnuGPXtRjQ+x5/ertOH6dCsOvtYHUSYMN93k
EbkENnB1wWry8vcX7l/cJDwzln9ZS07398b+D4+OMa6RS41k4o5hsaHEmSDX8+24Zs+OK/7FJ4LG
/OenRchTmGPNspaAzB+ew7XraAeoFpIxuy226BCRtUXpKeJJJSw+n7nkkoQcAE3Q5phKUyrAOLv4
igIQORwkx0IgVM2Heiv8mdg+0u4YaISoTKwbYwhvM4HFRAqq/akonY1TtW95Oj9MmT5DZedhzGUW
O+qV9QxVKikq6cxkuS826VSSFJHgh+nSEPeRd/3eXs7u5GzAjNhr0aiTb3R8RYVjt4r6DlVPJ0Gz
4zVemqCoQBM+dqo8EXjwmHQ0kqEipGSuafW8ecSMFptQEMUKDPwjjLw7YHMnhnbkPGBESgqlN8s/
GDn/TzQsF2TVDzvLhfm+3Ebt5F3LYHz046WB8MjoCH30RVlNtWRG6WVC4r0JKv50Y3jPdYqSvcBF
dcOO761hvYZLkFYhSy6JQ8CDmCjFwbw+p3J4YGmL5a/0DuAzT8aQnr5HwjTA51Zdl51oivd5xJMl
iQcuTO4Of+wumeV9li0xR8ryrkM7bJiRa5hp457lSsKuGCYiC5Jr1rnPdoM8+BdX7l/c3tQ6SDxA
4nBF/YRq0g6bCtcjdDLQb0U7PLQmz72BNgvld7pZ6q/vrXbZCQJsBJXe93u+kN1Oj4jV6pQvq3Nn
o7oi3QolNiHL2YCJOqYUCNfFFuOzPmQLhn4AuYAJ0k229QKoh4srLlUjJCo1nos454G3c5av58C5
2gZnTNrpp8Gh3DIbp1r7JplkU4zbJAuprGMaQ56H0in5QGLK7CDtH7uBE7Sxu4cmpCUVfXYZ+v7B
9fpkX2b+tE0axaB5nM+5HB/xT7KKBpmw8kr9BlGpwszVPQR0BweV+NeBhwhNZv/oYCxfqvku+P35
+n8Ttl8rtJZj8u+Y0kQXgM3403SN4pgv+l2eJX6DnC/A3i48aS7s34HS3m+UD0CjmdX+S5zlmr/5
nKSMjAm34PBc/p7fxVr+b6YJcYeKgCIHWI3774i1WGf9+XjmOcmGhlExZQzYPPIU/lxiNJZPNFQd
w631THwABGj4nMIuSFQkkr47vJiMDcDMeuVDUuniuniaV3UIrnVdiD7dWkFifkg7NettY0/qVrJG
JMbOgKMpgmY/icQ5EQdjYQRNqnrjhdCTmP4KF5muwomhpSfPQzaWN2bM+HFV2tkNoQ7qLiidcJ+b
Qu6jIAr2DJ5wV8S5EW1aBvb7OZHNUaGhuvTtIoYlGdBYOz10klU+hvY5mMrxs8p9zWYIqOnakT05
KMai7S7K6IE6kRCJxBinY29+UWouXzFuhZdZOdH3ErdjyQX3Y8SsvVPR5N+O0RRCDPEFAe8yKs3j
kqJxUI1tvI2sr96DKhG3TlqERzLMmm/xZEf1WuaVdZfIqidCyWkoE93xlKrABBHC7iNfO6n9LTVL
PEQelFn8oA5jLOC919gs4nNbzcYbOhKmI6SjALmY6+Kok/p5QF70kI4L0Jba/qOsuu6DEN2ECcSY
my8LKfgZ3aZiNunhCkC1k/aYDQVP1LAAIwYMZmWbCftwT6iAk89qXmtGnj3SnvETuwx0v32RfcmS
rjuIOel4JCXJ22z22U1iNrfGHHsn1XTVqYnm+VxFGWnEXtDugilsbSYdCX4OU/d2w+cZq2d8SVge
eZd6/jZSqxGLOdlZW0FERlvu84NOAhm0FfU3VuIZh9Qz5Z4okewRBqD8pLqEDRTaNweTBW3fNkdC
YWHVggCFq9FRoGG59jAVu/2ld8XcrvvSdAiOs2B4y3nBFsbYqNdjW0jWcw4rS7jJ43uChZOl2rRg
sooM1EiVyuIu8b1p5WLYuImbct54sya9pgnzS0Vw241tOBZKiXzEOchwDyUxLWj8RA4cZZxADfKl
nka3Qtvk4czIGB4RKpcvmdhQSZDlo5QPC+sK71Xcx5GW6zE0tpXMsV7pYeM33jXJxPBWBI46mg0G
vzHFVr0Z2l7jppLTeZ7x40Lz6IqPokyjZyP3Y+OEd7rmkVYE1lecmm2/kubYPwzziEx90Mp66RAk
Irsv6v7e6ov6cwPAZk0Rar2qhiYRJUCnH1r4seHBxT7RrngolWCTdbsSuYPaJuokgQZ9ZDlPzmDK
cw1F/AuWDLNYoffT8TpoEFQxpg4/p4EZXJQ3aRPtmhKPMz5S3JXgAKAWMIXLNggmyl0oi/wVXIv4
iLTyi2GO1cavGodANF9/86oGCEFrWWWxjcKoeE5jRODrrEnRPqOjaV66ABPOCrJAdQwjRpBYD9ko
d5QPN9KecBV1zT0KP4FQKAm7LTrpmvicxt2GsITIB+J5OQ99i6mvSjYuHuXtPHb1SZVWcPLMFlK3
I9OQ9wF5Utn3nGjM94K1ISpzP2Ru8mAPhrcvE1NNG0N0kbt1g8Z8sZVk9ulymA62Wem1KPIkRcFR
ZcdYO/WVyQbMIiKUl+d+4vLGBnn6ifyuWq9qpu+wG5ChHqN4whgcGmP1GRkkaFgXONiBICNGlci2
2lu3bYy30guwY7dWOqDw0AaHC4UJcZ6pIJTMdYedEcr6M7FK47c6k+OLdgvr4iBRoIQZ21CvHI/R
4FpETs3GWERqE9oVQxY5RkCYDYpgy6w+xKqtqGzFiBW3IcgeSPDGL4KTW+mO8K8CTaVsM5a/SXRM
Fcdmabn1fjLzR+Qo/b5t2G0njFpwlzVwgGFN6wJb+eBva3Oav87OMOXbwfLrTen0iBlLOUB5N8P0
djKJQuvPblb7RYeVfqyST7MR40DRrL2V+RxqhRZlJRu0t91zD6sjvY0mRHi2SP1bK4XDPVtZ8+Dn
mfngW0F8x7E4sfBW85Fl9RNOguKhhgn30FttZK/MJI2eRoinzw48I4avqA5PEk7UU0haG4fUyG0V
kuJzZ/ZTfkcbivwozr1FAeqC4KIXwQWFSRUCAsc2T7v1lOuE2arosYsGNWqPNs+vqTD5dn1l7Kw2
wybTsrziVkeivbKa1r8B8+7fAlCwL55X0Ao1DG8/uGHjH9NEjY+o7UNITAP+BWc2NAPuuM/3nVGX
ALR0dBVlVX2ACRAcY37wN6zTRFXpxttPXd3vpqiePyM/mYjcqo35EFuZRtCvMb1B1tjWXdRD0vY4
j/rEms92NwdHmaA4ysf0rs560Ny17dxGJWgNDlkVPYxztPjK7UszlXG5LmZ3ievqy7sY+vp+eT8f
m3KybkQ6o/10jWCf1g0TejUMWI7sEfiJmOXXqANSn0z4Z1ZNPRFY4ZmdPmlUg/e2auhStRDHwerb
pyYq8zsUrMOB+8nXYDvKhpFTgNO7HWNA3bPW5ga8isRvxJTifnTMHBlx6oj1MkDaSi8xD2mdubd4
gaLLHIjp2PJgZCtInnghwjezTMQbezq7XHmtVz8nmC4/m6yzjm1pVHuogEaIPoWjhstvWWG4meOt
2W4Gu2RI1R1e9fFzFQQj7Yblv9hlEt7auuDOk8uhCS7YTvbzOJKJ2DS2XX4otHiGzQ8ffZChrOBg
1721NovQlggcR/GSGJH6ACKvre/8BsvAwQlIFljNvq88QgCs2ryxfRx32HutwqwJUJBJtRBVeOdL
e9YfmjreTMIJ9c6RfrCrhB+sJTD3iKZkvJ8tG0pF12Rtfug7QzI6c7zk1WaQVKzB8Jvethlhj2Cc
9hejCFOkCYHKvozJwOxPXLI2HXMwFChwXutofqHsnT4B1ije0mGynwTUlkerjqsTQQePdRHobe7U
+TGo22od9GSWBeX04GfzCwfgu5vI17TzX4J+7L8AxKaCcBtIOq3XvwSCrscPwuyutrLt6ObGDR8O
wDDirlG9dvW7M3uMv7qqVshI8UvDL+8TwqJQvNw73sj8EbO1rFe0dHH8GPoMoPPZnu8lMjEo72T7
5MY/ppP/1z39sntiJPu33VNZdK/FD5yp71/zz+YJYws6A8dnpbPwvZEU/Kt/okv6zYRea5K5Y0Fp
tWmV/oszxf6Y3wJSivEb1c+/uijX/c1hdIvo1qb1QT5h/TtdlLsE1P9xJcI4gng4lD3LHmjhZv8w
qK3w/9kRxdxtUHHrYQnLsVkC5vTWXu0rfQiIDykw9MUy5UJ0qktsMzfMsCx9bSMIJzgscpYe5IHU
01HONV4+pLn+29zY8H2KJHRXbl7pmxL3bvYpmd36pmxn82vqxJNYWb2a+pXpWYFeiqDB2SeGX34M
ui6wj20tWMJgtm/GS4OKayuhAFI24TeFb+SrS4WUaG31ESsCbdyYvUZEQeZKjM2tmO0NHrTPA5U8
p7TEWThMSMZ1ShomCyJMZprkEmb6iHq2uFOwLrq+TC4ZHMkjQtjgYDR9cxzKPMUilhTT/VAbezvt
7U1pi09jMTl7aWQdxvS4XL4r6BOfJo/jAIgAZAzCOKSwsAssCAjLwkJKXNamL7MUITg0VHafBO3h
5sHh2CJsi/C8rfjkeZfNuaf1shPv5KZze9dWY+qfRyvw3nhHECIQGBk1j7NfzceucVvDPQdNPKlt
2liryh39qdo3YSWzrT3Z46VM3Sxxs8UTS19e7ACY5APxjK6UnXNIUUFDZAUTUw19cMagQlDAvLao
Xm1MKlL1jNxWIm7IKjhaOTCXAV2wIJwYth0tZfgdFhkE1aayUf4Njm09tC05PNjvjekrVX2Vvgso
DO86YsbMwKlovdz6QDigtePAX6ie8CSD52okYQFdvBhuRlSDJ4bZYDqDRkUS33mfHhO8yc62ydQ9
hXWzNROqx0iq8bbV4EiWIEEuS8zZG82aj4weyzqFqSq3cWzOuzlJ1F6V8tZKqumh83s3gTiQ2cga
0AwzluxYbYeU5WvX4d1e22kYHf6TvTNpbhvJovVf6Xh7VGQiMS7ehjMpaqYkyxuEyrIxD4kZ+PXv
g1zVr+zqcEXve9EV0dVNkQSBzJv3nvMdnCS4OjM12cd8FPWO9bV5K80q+2K2WipEgI2Dl1ovBhQv
8EAItEnN2Kvx5alRIDwsheggoYaWB6voPkeJ1bd0jS37zuAK2hzCqvBzWFviKkysfAdIzdj3ygLE
xdtdY/+p9nKW431RtnLx4lNVWjJwsTF6A5GTpkivFgYOVlYsTFS5TnHsB8ExjEhWCqI2s86AS+cT
VRizgkQgzO7YmWoF30sAdemy8MaJaEpsOss5MzQlOWhMg8/UBP6OdKCeU6WytqlOi1Mn3eoJoOqN
Xbj2/XJn32KEEhs6AkC7tLyeEw6UbNrt2lOVjeS+4gxtqUp8K+Ukbks7DT+FVcxgV1ukl/QpCa8Z
ptEpdsJ9kvTpHpQ9ahe9RCoTDLyvnNp/DC0D35XyzLOXus+zKW4LOqlrF9jJOZ17GzWi5tSdNMOL
rcshWiXpOIC+UeZrbk94QdAYlej3MqEeHJr5aDka9c1wPfAULVdjl85JeyTo+Qu4aB9mHNafjdFN
2l9GJtZjpYYxgqrSl18sbwovwDPoixPxa/8ODSLeF6DO+BuVccS3Q9iKqugxdX12HNCWnNIRXJlH
NumW/Jxxp4rQO4w2c+ShKuABdA628dYOJTd618ZX0o9orS4es4zrc2lGfc9tDUDFnM7+QJfITgMf
JVlUkbmqtHvyaoPkEt/KvPfRKaI7P/PiQx+UxTu9LX+TCUqfVQWK0tlOpUU/X8hj4CQPbV57R8iB
4ybl7n6UBrH1K2b9JhYDFayHFi+yoE8xjTZ0MtfVpAWDEl9hwlCfyywkFjzqgBEOkokPWRL2q+0N
/kaR8fxQ0jhbc5wcXoBSoFFVSXltZhWdjt4dvxhjASPJVO23ENAB4mI9b8ssagDrmuqTCQzsdpa0
o/rRm++mwi53MoNHaGJsvyJOWTyiB5/TNTLzVO/Ksgm3TanFG7jVemONXfmQWAbh7xNC53WUdMbK
QjT9Dbe7OBR94b4qTgTGZubW2s4sOeuIyENn5YXRsClKVn5voO3her1zbeo5XPNEKpTg0nyC411d
eYMdnUq/rijeMLy3WnAQnPxo+hpPdftoQ4hK1toMok0jpoxTjoT/EYzEP0mJBnuup6lbA6L9mucQ
vJDU+pxizfIapFaCAkLXZ/KshvvMNbaYS/xr3Zt2vAI9FgVH5RjpdSSk3kj6JZ+zpjcvSZNV127l
gaYbZIN/xon8B8sfaRV6OHrKMYhxbATWsO6jWNzWfZW+5Hg7XkKvqO/AIQTPVRowQx+J14lwND7J
2pq2kSiT/YQ9ehtMrV4JpyCayOLbYtxAKt8ei2zu4Y653RPSSwxysdUUGwPjyNqxkQTRXxF3Gpck
Q1r6G6cCjRBp3+kwXdn0DlPiZaVJMJmluI7t8Mka4RrYPQN+IGOo++GGzScZS+cLA2ZhrMugiO/I
uBhwiwv/ZZptSF/WzEbvFTT2Vk3YxDvMT87ZxYl8Cdy+DlcGFPQUVhyNio03jOdOl/UOiyEhPx8V
3/+K438qjhUk818Vxzdfh3+dvtbN1+mH4cL3l/0p3VW/Mcl1XDo6VKAf2NQ/5wuu/RsNL0ILGBmI
HxzgCHSpWF0wajZltassitY/hwzebz5/Tgj+F8RTAqnWT3rdX+p3fx4yUJ4jFrIXpRLjO8RYP82A
TV0XsErt+uD3Bg6molbtFkl6nV4RdGhfsU/r/jG0GyzPIo66Yx8X7X1UGX2+T+EXpBA5ehBcWFnw
2wQdsccd1mWzGkMULWRZo+ttBEANNEahz+Ix00G4CVOJT4MufXAZzcL+5BT9W0brNuRPXXod2I8M
buf7pvYvNHBhjRS4IFelkwXNkjxGAxTY63U3LMZrj4L3oYHEw4myFZ980s7QlBix+VAUQ3pqakoc
dFCYIRfnwuCw9EB+G29IfwZbYUj5EMymAanT8L81Zg0AqSoV47keNdGREDqqMNx9eLt7EGjz0Phr
xIUJcAUu1EfASO1Gv/P7I5s1Gl6NCLg+ohqevb2HcqRcJ3l3nKGbrIG98sLGHujDm8XCCnFyP/df
+mTW4brIPPHJzXGpO1Xvr23TxyVLC+5AM5Ay3SDBe5ZY0VcA4CYEJ61Puh89uVVEEhCAqDhmKxwa
NQOA8bqFYh4ar12n8Jy1ZOOtyDaX59prfLEfbJk9T2kGgqYPO/mpzpdky3TEIId5JRpvvSozvs3R
4K9HpdGxRGP0bmQNkk9mVfuPz9csn4o7uwYwyD+PJnCUYlVQU61dh8bcTtRdsafp18MQq2ZQu1xk
uprtluDNDt96G5vn0KOfHK26Nk2HMxjvKCJUT6bzwWlQxe4imwzDvZoVzI4kgHRVGAh5Zqs89rXV
kquX9N2ujUPzU4V21tnJavJAgKXWTI8k516AQXdKuqbZ8O5IXZvGjmkE2/YjtV/2XBNu+RjRy/6k
q6g5e8DXLsncY9Rhdu5sCOxRJ3qk4RVy7OglmSr42ERrXhkVPzbqGbgydOJQzUDZQ7lgG1t7Rkix
xwaMf9rWFMiAXJ2FJ0nbpBimvYcsdZ9lpvo2OIAtsTTneUk8G8lRm9Cke7jzE9FGN2lW8reYOlc7
pwR8hrZIYT4i860uXbLkafo+BLk/XcfzkCIVSOPN3IrgOndImyVzdvD2cpmz11mkngk4Tve5B4Cd
3tBCXhvbOPf2qRTNY1tan+w2A1Fli5fCGydS7Hu9VJmw24iwI+QuD4O5XTfYTHaxN8NMdTkN48PB
2BR4eLFw7tSwj7LyrkEDct8YCpjBNOGGji156sKCQzB4vG0O3GQh47VbE2n1CddomlHiD2o9ZLZ6
4qwlVnY+YZAjk5UHlZHXyiKYbF2YBBnB0w/SXdH2xIqWLTQzNBaEBwyNAQ9ONdf0EelIeyq9KozB
vqPmhHkY9Zhdhdsgn6HVGiQrz/CtcwYOvtsMo3A/9cyfrgMEV1+mOkkghhBpOvHTz9WCcMCNMYA0
KyEKTolyirXgNW8zCisq6IQI8ENY5vpR+8DCmEbKaNtFPbReIy3mJ3y4YjsnOrrpVVWfZlGVpHTa
097UrgBHgasXxm9YCXAJRLVWqx5lBpirogHSV+B4G1go5KrLBrHpHWe6GpCx3kdkLb74fH8FOX4e
k2OVl26zceawPnUYOEEhOAtzfvBSZOELCH8ldIfqJXJLghqKql7XmRldHEAY83rMqMTNOk+ukNnQ
dsMjwWwwMcE3Kqdq1rXfj/tIhMV6mHK0/kJvUY6YTFG1e1NOnXHB/cbi35nRvPOHMYGGVmQtbU1v
ru+IdKDjyDFggwZrvqdVyarUoCJ9/VhZ0M8F3/wxRwxb8oQStCuZtS5PUeWwaI2MBp7rAWGFYzCF
ZWADUIxKkR2mLp1iP4Ysz1UBJ4zHYTAfaDfzRpwtxg3eTz4J7pD5ehADdVw0GH5xw7Y93QBxK6dN
Wc5kuXZAUGpP2t91Vf8rl/6pXDLJ7/t1ufR7/dakPzYTv7/oj2LJt39TkqQrmPX/jvD+Q4zx0We0
qXsc788y6s9eokJ2QSKQ56DWICGLiujPYskS/01xBA/5p96hh0vKlpibqM8o7Jcy7K9S7kx1BhOb
qD+rfPb7CAkCwwCKbmUhVyrOBO1aExgHctYi3M/L2CddJkD2MgtqlqlQlnuLd4ePf10vUyN8y855
/BgltctUyfwYMJmqBoo7x90na5k/1R+jqH6ZSvmtF9+Yy6Qq/RhakfJibiuCvNYQgdVNu0y3CM/Q
O9F7OeMzUdy1yxTM/xiIES2dPkNAH05LYGW3GpfZmdADYcsiMshI8Ur/IYu8/AGlE8QQ5m4NSc97
bMvhnaPt+YERX/2wpKfuWF8ZegXtuEWv257SiibaSITzunfkuLUii+IqhmJy6QAKv7lurg9xUwaA
DGZET5qmxx0xbtGLztMOX0qZVBsV9ubOj1yaZbaOHuzRSba9sHqONqIYzzWP9dnTzRPmVRIq6NeB
LbZowK2FquZLgXh0LeT4ezqONcTbPuXMZPTxWccFMpeispvPhHyzl2l+w6csTfIbb+ijndFG86nO
MU+uIlqkm6z33CW8A2opZpb4zvSb5GBk4S1QvGRHAkAK6N4GMUbM3kEMJd2XqOjOhSFjqMs4WlYt
OcKPHCS7XcpMfd0y9bz1oHkeJnye164Ww5nz43TAqKfegAuVJ7i07aPjmdnIqdFIt4s6FotZBB4/
5wR3TfCH2GnpGhtCR4t7oxXqsZ2s9pXQhuzbhKf3YvZdvHHoF9/mjW3cqNglh5XBJdeKyTaEJ58T
qpd/UnWMbNGrik3B0RYsT0rilGCZNVQ9IkhomluYAITvjO2I1aiPNe6oKQQQAdHmC5x2ZBi6lox4
jFmRHz2CN91aNGPuUfkJ9ES+5sQQ5PMqFyVEQALPVgz235CMelcf6ZvoT6sbq8ZB0xUCJJw5Ex/d
hONulIY/bnt6hedqJhImCyvvQMch+5oUYXInKvzdcRrOtymoggoVdGBgs1JevgrCRvorPTiws1Fv
dVdF7LisX1F0imnDr4iBTjZLfsmnWObipR6T8ez4qdhGVtNd49lDRlJWur+vjXB+1Rm9XRzeqAAr
Ow4vPlyJWw98El3mcN/3LsIT0bSICmilp7ZqoRP0M9g3KQsXjYlmy43I2N5QtropQ05qkFXsOfQ0
kiQ44oXhRDDRy1gBbceKTsOEoQBsgvyZZaSiDQQRpwi1wF2U29vYqMS1G0kM6sBxGL+hkdhi0NC3
eZiHt3VkmRtHO+pzhhwFES1g1pcmiFzM/l43PTJxVOGardGg/pDRgXZcfupmBoWr3KCMWveGtvsd
BxBB7DS7IiTjIs1vDHAIz64sdLVynTKo1pbWAStJDDBizsv3TAqxtPTy8VrNbk5TJLXjdJNMvfEc
9g32tETafsCEJRw3KpYJE+yk0OZuZCAJXdyrxnszE/KlxhzTrfFt1ZXeZU6Juu1acrAYqVYQw+JU
3tHICXN/HQ6Tg7JrFF0jHgOYh5PzFLo52sp2EY0B4idUszjNlUl6w7r1YN9XG6s30+GxTsbQ+2KF
tNcLcjYyMdhPOUJ77W69Cjjtzui6NnmfmArJdA8uv67ZuJAZ/q8O+Kc6YIlk+3UdMPzr8JZXUAbq
rz92Tj5e+Wfn5ENpyZr4h3n5j0LANemawEKAYLfEqH54of+sBCgfGPYBcCNlmCpimQX+0TbBDe2A
v1vsYDijFtX7f1MZLPv+D+YPKg3FzBMzA5+CkuTHugBG5gjtzJ3JhGaspmYa3lhqn/9yUe6+/7l/
EVlyV9Iyaf7v//mbonp5Ezx5cPP4nn+LNm3LnoOm73GWTUn2Gt1mJh29d9ecb9vtr9+KMu1v38fi
srgY8lxhq6UO+ovvoMxZkZKQ1sHYx/gwspi5iwmBFcsiukWSFg+5rMmGm21rBUm//Ie3/9vlpBFC
Oi3SDin50ezFFvGXtyepwLMHxwQMUwwXM3dfPOg1v/6Gf3dW8BZLMw2POvvqz5bDujamTgRSH2w5
XEZbPTPDKtediaxVzJq79N8C4//wy9HC+/mCQjKFvcBkG88TPbZlKP2Xb6RCDRqHfsMBAps+AV/D
YQMxLMd5w2Kckf9hBYNGcRfqlmOvgny80shsUMimdV5vqJxoi5shmxw6t/QIGN3PaTT0PlxahMDl
ivU2wUOkZbXMKvxVTVF5BNqrfjeTYc963MJfWto6dSvM56nBqAEmjxMYkg91E+mOaUaEhr0T0/g8
MW89M6YawpWiyqIXrv384gCleYknt0RlWAMOC0v71m6L9MGxGaH3FmDzLgQY0vWF5IDtB8gnO40u
yNa7vpvnIxvKNRTgfqfy/JvlZg9lbH1hPHvfIi1lQOvlp0qMn0OgY7xF4mxpaROlQ29vk1az3qea
7kpdyI3dJMNXZnYabX50W03kRMU+M1LLzLstFZlzM4L8h1XlBCczVM+uIYNTEsXYoRp3yZzoyeYz
/MtIEuBmkkkCMFGHl9YhfIfuyFr4fbhxy8VpPAT9AUJfsE0Is79mlrvuInC8AbHTV3YonHTLAKWl
VTlMoX9kyyG5JS5d/6JdDqARx5O16cXuuRJJQrRVJRkDF2NdO09W4RovUdrXt0Up+TseuZSXUqbM
m+u4OwhlU0HXNTGJxFFHV0Gu6+syQ9hjFjrdoTHiFsk1Iq8SC3wyFBLxaGfu+jgTz1aJ24TOzQjF
Nza71y4WmnpLTPhwZje8YFebt0VcylUAvWkTaWcBHsbSP85GHZyDIKrvq5mRSV4354BUqFewR+3F
Aup/gJ8rr+WonENecC8gLop3XVuMexrHrxGDQsQKMfD1BB7CAbedfy8QNe8N2h7Xc2iUd102bUw0
stewDiuNsDUTu3pI9Gvp2NSZMPao7kc73te+1V2BaEpXwRw5dzGq5SBQpKIGrStXvgyhq6URYjb7
ZezDk5UHekNY5H01pU9M4Dk39Imxt0gMuIJ/k67iqGco1yGfMoJB7k2FrAzNZHaYILIf7arRV1Mp
lvDA0C5v84l9gzsaycrKAOh9rwI9vTVQptYZD825DxPjqg0dc69GvCZORtkER5soP3hZ7kYLzbuF
6dKs9MEQrkuTCOagikjHNbzglY5Mgak69PdhEAxXI0NTNFUdIx/YnXtK6YBnH2GTaQkOTUHHycBO
GZ852XCazUieF3HYLkgc/7kk1oBzQ1xsHDd6QxX/4ktE/mHbiocYZe/B7NVnQrXOhpeFj2kpEC66
XGn48KfWKkGLBWm9mi0ScIKhTzfak4SizMm10WhA74i7N2RVvsehRwIVSfbTygvC/hggZNxKQ9zD
xd9h5gsPiQF/r0SpvJ9T/mwYOPqploaL0K8ZjE2F6WgHVUK9NX1GLkpUOdtm3OkqVBfbrvzFCg1u
s3D75q4zKoWcTXjHOB8UOQoRR42l3o4igNgr26rmmyBL6fqqoJqeSullZxakGW6PD7jItF/rciB7
Cg/ramAmt86qAKm8iGgyF/uIDWCV98gdVmFIDGqWy+Kmyb1j1ptPaQ580QwkEmw4VVbtMT9Fr7IJ
UsO7DoP0a4AEHjVms3U703rrhFX9nnSqv604rvsrO+PZY0lwbuOJYwa54NnRyc36gLItpfc1D58g
iSikAzXvLGCb4dd0eIBg64+LdsTIXiRJ0Iz1ZutezYkDcQqlkszypFmVdqbQqkftliEJ6LjRGd/z
fEKfifeJy1ysUzBlz3Zko7v1wdhxWMuWLL3RWpO6bW8zj5TrbnZpfKp40Agx554jo2ccGAZBQtHu
F1cqBLG9z+/O7CUBDO65F9r9ck8HMcc8YmEJ7ieya1MLjLrjRwewq+VVOXb2wUbVfevEMj1ERhh+
9uxtHsbTPpsiLn8fjU+SlWsD3tjj5D1lF+VBOgNOA6XRaFPz0dLO1hny/KUFpPt57J3oxqmd+aUp
1IbG9gA2pqrrm05WLdkgCXcesvIDnpN6RdaesWHz/FakjYmwok53IEqbI/vjcOwTxZqhAfE5V0DD
EVVtzKzpvtcV/yvy/7HIl0uV+O+q6G9go2U2ev11jL+UP1b4Hy/7t3Zwad1Zjq186valzv//2kGB
KQsgFyNOZqAuxqx/aweVu/T7kM96VGc/DUeZm3KapkUoadmZEtf2fzEctX+qS4Xv8/Y2VZxNU9Gn
Nv6xitMIy+YhLJJzDVV9erMQNpE4brkt/n8gpkw21MBGNh1iNLC5cSzNqLLrNecQbOEDQYSIbaf3
Gm4gXQ9R2euRw/J8NRaO+5Wn1N3QtHDqWR8KthW0Vqs0GybrETzb7HUhO5dpohXK4AuzRU0h5TsT
xzmJ/FsRG61735ddTypm5bR1NT2qgmTFtTP0rXglrRXwzbLEw9euo1LgJI0xLKxHz2WL6ZEOAdMJ
ZzsdozMaYl15j5HpYvhN1ljbGFBIogIoR6FK5s2l8RhXbz1aV5l4ibXbzt2+qHrPzNeNyInwjEnB
xqMh9JfIaOqdq6vpzjazAqPGNCS81JmM+XNVgEL8bpn+3wP4jw8gLsNfPoBl3Ub/Wr/VZRb/JODl
x+Klfx6z7d8sG0UBoLDlWP3xpP1x1PaQ4gIdQ+FC9CrKWcU594+jtnJ+oyMjgeZ5NK95Gc/nnwoF
9Rv/V4kgWPnfIWP/zUPI8fOns5TPUQpivGtDPpMQxhZCx1/OUu6iMUP3nhzASEbwPv0Frz03IQHO
Zl/TQGz7SpTklLoRaVCkVVhHRoY+mSkzI561OZDAsGPEmqfb0i5DTW+3lKSjVdirxUpEqnnPY9s7
0+i3jhAQ5Q17rnVsrY4O8WRSp5L6pBA+SOqQIckItk8zBAKMBLyzj9/wtWi86rUSMxHMRCPGFbmN
0jvLiGIBNLi8YcpPQlxZhI6Db970qr2ZuVG9bVJjeclHundK0/XO1K3/zJyeNx6YDCJ2b7zxISTc
6jmP5fhQkydyDNIlyF1Vo0vmtlngcC/tuvROju82740nJEmEOVnVMsIGL4sFRlJZCFYnYr06QhrZ
5leVb9Wwcs2wPgip5GVZB9/cJQG8LI3uoPpIPc0DXvpCEVzfKIGKldwJeROauK0RtIbBc+IsrDDs
AouM1U9IRGUm0LwnNVQrVklArjHqrVeqaNGvRlXzf7NGWV7lpW2/TSGvo9jmA3Ai59MO5IzdCRWi
+QoiToedcmgkO/7It7ZS3tNLFTn3ieC7+5k996tuEOrGsYi7KiI3ulEpDkA4pXJVDzGxaUHcH1Xp
4zkgA3ChwC7XE3ZVEsLLyqEHc1/zb77/oJkIU6JW4sB/NrvlF+ZoNd7xkzbNJ4hWaJ0HUIpyM5Lc
nm8AIafxvQFeCsQnSSr4UvqIf3oNXJ+1nXVcF6yBfMbvueks6oaNpNMN471uQeYcqqXmfGHOTfh3
ls+M5vth/hYFyNBXoi/85ykbHtq5sXcT1HdrTfIvQbrMNe/dHu4jxGQN20Lm5qWwuAGXNAHu2pwb
PSXuLNiRNcBfmgOTf7oRUw0+CTcRY4TxLqJqornQ9twNZt3wy/qqddUWaYM6epbsrOvMdVviC8OG
m88wiQwPsMPTFh6q9h3uJC4y0VbyJho0DyHuHH7gsvIEJg8/XLYxCAzTqSB0J16nPhPibc8tikaQ
x/Jc4myxDmQOq6ORIJREyqj43PHcxYwQ8POSrUhGIsGOdBBXgeya93Fc/L4FtGk2xeU+mfyxeu2W
n8hTBNrkNpBrTzb8MTR88R4kjL/Fgxbvp773QcXJ6pXcoOD54xaODZfrmzbUr8vDvkgMXwOnHx8G
1XFJBjOc7saQRwHTCYCdiNHQznQs/5nSgwvXkpOu1lXmccN0AHqvMjw13AHLI4FgI97jsOXiTdCQ
91qwcLA36tfZrcG+2RVR6k7nyIuF+fPZSEQPkr5JiGZPNBiIrHZ5OJ1yQrxJF4GIMHvoOafnfB0R
W8T+jPygyzyL50EIbjCIOgD/UsIjSaqz5KUHvbif4AOaKxpU6uhGpX8eysw/z5rwuVUbT/yFsiJL
bZVBMydizG0idZfoHg+sUaNsZ54++xuRVe7BsWuxIxTYP9t6NDYKiW4NjC3l+ypgacNubqYu2kJb
4QlDSMAHmhUrVm6iVH6YmhE3RdL523jS6HhQKz+kPsuzV6QG3gmZ8XeIs7GOeM0Ix2pZMgRNuktr
Vx1XMLfGh4obHUM0RP7XVAQaLkkTwneMzItLIP2NQ8UUYFZN6vmx8SnhDmPHEqlmvvCYptxRho87
bZOZhrwEgriiU1i6pFSrIs+iE1MiAqvEHO87cI3zuh/4lbI4sN6a2GRplsHEPYXMhRt8cmZ+1rrJ
7DeBPwyyXCHlRUPQuSTQd5Ce10SALkMw7hfZtHAbC+7SAf2bQ3qGljcxqQmXPOfMS9sArN2295c7
h8S7csIJUfPnTY4v72GK7joGN3jHWEJe8Ez4z2QAyuQKFE19QKjOwPfjnrdMRKtr0fKdSbxb7n8I
OEQqxL3/TE3r8j3Fsuz1g9Qt/g7KPXjkDetb3bTeBnXQcj/6U+OtK+35z4Qn8EN+X9KSRsb5pnIH
biU78OrumHgNjjZNt65mBm3IO8vh6cqylNMxjJVAqGzcfTxxee9Zz0PRjqCetF1Hu4+VtSwj6QAT
9/SzjIk9ex7ATqYvNlPkeJ1Zyyol+yHeW1Frv/mYMLZJp/N7GQGghCD/jsPaP9ZVtWwGWiybM2Ep
QM+BOt8Ms81CxoiKJ9hDcCZBbZLvEeHqi6YDyw8ozI0MO0qIVUhWIkDGcvav8qJpoVC6wRhySWI/
u58Tpo8iRhu3BuYdPrOV1tTnKJNOZNXz1KTdyFrLM0nUE0tMCb/KZDqsdO28l0X+XIayPvnB2Ilh
NaHLpQ5R9QWqH6EZy0bUOEV2YcBakT3beXdMEEXAs9sroiIQD2kp2xtbqPKK5KNw3aPcfopdbYPF
L4LPujW3hlnqcwPRYl237lq4JG4Ah8plbgyHtp2OTdRVRBP7dBvu8IGXa/ADL3jLdxUNr52BVPGu
svpVkrsPgYkA4mVysspgn8DuHxzxnuSsqrh0oNCghFICQ1AlMB6DHphJkW7QVpEkYiWwlcz8IDEN
RuijK5KSrVTt0sLsfYLI553oSB2zkyglKtUdpp78apphu8khZfHgc1vW67DpGMQS6epftcqab72x
dU9N4rPNxSMCgtEAy5QP8gl/MgB9dNq38Zx6J9cMuHulRVESeThgvKRCuFSNJu4It7siqJIBqgph
OTSGPb5lVpk8TW7+ZCWkbZ4z3Vj3OiUX22ibwQPVVvs7r1f9t2aq/d8jD9VYM4Bmn7nJtpqY4I2H
LIwI4AQBQK97bAMtibJehXPCshAbdKpJrr06SqZrrpfznrResZs7hBaQrcU2jIcn34e2n8ZwN9xg
+NwH49qOE/d32OfTQ2RPxUZmjEpV6iKebe36viGNifKncLb2mI9fsGVdDEz6mBia5tqLo/meGB57
XbpdvivJ3twHfk/X2YdNF+rmov2OHn3tUBltm1yX1+0csEQRxrm2h6jahtQNpy6v5cnEq36w/bI5
pn5nnUtFGAEXrUD8p5FhObQzR629reFzYkxYsZgK5ekdChg65t7JmFN5yyaAzdcihi70DOeYYca/
D8nGVAXAN5MT4Z7RLDXrRIz6GPodYDZ+MFLZjdeG0dOGDo+Pv8a+72Ky0knaEQ8pKtZzOWXtEyYv
4zzlAIHJRnZ53UDt+nvbZzRhA7h1p3YsNFz0tvyULADzVd4BNOH+NtOLWQfewR2UcSOgIazZeV2y
G6xd55JxmpRpjo3Fdd9AkH0ajUWQCGaYOUtdNzsDhFwJwmDAVTK33V4EabS2vZQGNubAzcxwZB+Q
a3bsC/u9ikJra5J0tJaVyJbVSh4nfEhvQS1AqwRlM36iIt5SXddUgrEoNlMq0m3LnOgSaFYUVv4a
XnIp0Q/GpnsQDf474r2nTWPSMLQHEp3PaIxohFeqS/yOhQSNid60tnggUzmToPuzGiSES95k8hAH
Eo2BTPLFGTc3ffjO4h/uosTUm9mTFe6wnpTZMAo45ZcofPatExksTHXsHDzCb54Nmmoe215gOog8
ZbRZmEZ1EuktTYvyOm54LmJcYM+V42XHmewoqMlTugOCMaOEFPzXxMW2wMz/aQhHiGZS5aVlnMCI
UPixkOaYuH1fhedQ5zeINZuXJY7+Cu8OjLGCsHKqgce8M1HyDo1Tg8X1A6RHWk8EVTtVJ455isL2
ZGg5m92BVctHpwS9dECKYFA5kcCqgtug9QeqWaZnoO7i0nsNdMaiHiTJUE0s3xOxPcjK65lGa0I2
mb02M4tww7CBe4GMHTOlesVPxa5rdglhNl7sqXCHlMLOQW3U/Ht67DMBanbeetw9pl9v7Y4aNKoj
qq1iaChEnN5ib4p1lU0nIefxYTIHeaEWzda5HijLGQNUq7+c+P/TIPJneiW9MHsx08KARz9LF+un
s3MvKsaJOjpUDh4fdj5KQSJQhqF2YcvFqike8VF61nEq2UU3gPGa9NRbZv/QWT1JaBF042cMMBTv
TDLZpmVLVW3E1HShNVNNxCG6jywguAKxDEfPwhdZDTQt4PCWuvVINCd9ivfvNTKd/fGhm5dDSTFh
U4yCGDQc8neoWGwrb0DXIHfNEDXTFeHaFGS/vhwLm+mHObcvbZfxv4tKSghUbD/NuXs/jA3FUIS0
+B5dvz+NHXw6B8bwqrZ9GCR0uzD7jY1+Ixd7etAth24dcSiNy7F+yAv9T5/oP/1AC4EPZhqaBfaT
H38gw4bx0LEBItrHswCcycG9SW/luaFXQRy0sZzjBtNs3i3pqmPVUygXQ0kKkyQEI143TbUcJqjQ
f32pFgXDXxUONF1sWkImrRfTpQHzk8KBmWeG0zFODkFJtOomL/FEvMzW3DWfrGmeNcHhPnVsWTD9
gA2dUrb9+gP8h9/Koo1LUiUTdNSd5tKc/UvbZ4hgPM5mGx7s0ffIyS2aMN50vgzMG0mHNOSYElT7
WMVRCC08mAv6oE1wExatvHiikzfMRDmP/PpT/YfLwpQNFhcHPkb7P99AheoC5OBWeCgMDg2kGI2o
k+KS08wyPQE0YlIzd/lMWW30YfX663f/eFx/+lV4e2f5D4c32GA/XpNiclPih2auyZRxiIYqMTFG
aWB+JfwgMF4BTqjBU5fUDYyjXA5uBVRB9N2Wrsxby5kQRa9E2obRoV16L5Wmvf2N/A9OvwWiuX+4
XObPOgjWHxdbkSPpG1gO8M8fP3AkDR1PvWvsVWSzBprlXEQnr/t/7J3JcuRGFmW/CDJMjmEbgZjI
4DwluYExySTgGB2jA/j6PqCkLqmsq6prXxtJZjJmBsmAx/N37z13vepUE8cFB394nu1gNB4qe2F5
MpUp58BMeePDFHocT4kDJ2grFmC1WeHyn5xO/HMi7Z3svtdDjk0eeqNbigHO8CgSeayB0JRbXH5j
skvGpj0uc8nfLmw8oFgmZ3S0gAvB5/dv53+b6P+0ieaM4I34r6WgG+qh/iYC/f4Ff+yfA/M3wWNu
mqTg4KN8m7b+sX8OLExB+LYovuDt/g8RiIQcG2GbR8HyPf61Yif+3D8Hv62Gbd5yjs08Z8GW+C9E
IOuf188+MFZyeEDR4XlzTfuncyjWRkJLqBAn8ArUStjZklMJqeIL/OLjlnQxgQwcKxRVcuex9BRf
BEQgXkNKBZ9ExWLY9bLuhRB595JMCCt/+Un+Pz7h//lA4tXZJt8+L9B2PFDEf3/AQsI3MQKre8pG
t34XqYvX2kyrc/XdT9rIYj6EyqTPWNUk6P79380pzJ/+1/MoWKEaPNiY9XGofesDfz2jIUuwGh9k
AxEr/lE2MfsHPcjwKg/JaESeEv4Zl1QFzXT2/MvJDeWTxX74bVqq5dMfOq5Sapmdi6RIul3uDcWh
L9oh37VN7d35aYCRmY5FcYp12Z8t5ai9ayp3s7QQebOpRCR3x668Se3ZxCZrjRB5AqZDMni+H1Gi
gEk1GFID0bv3JgYNz37FDYATgZXbhjmjvvQ7F8QPQ9E9yZuKm5RbsVTrnSDfE4gOU/BbKZd76Zov
Bh6CHSH9xwGiKmUkS8Ox43uqum5dPgaMdJ0429oZjzPzzzbHLr3JuDkgw/l6hFcKiH2rUmpJS3ua
f1TU2mE6xod2FjqLwcvN/UtAKTouIJPUzwYLxEQtpQiYx5183uuUnoMpJMhmuDZWBypfmvv1mndn
dlJaEexShL/a9PhU9s02CliX7PSA/3s/OhM8McmjdD9hQSFi1TRegTyY9o/WUKe7qvf1cFrbV6nE
tqv+fiLWRUOEoyEWSM8y96yt4mBTxT1r+A18ZosYZbI4l3ibWHQkiQSrC11tZSYvLr9Wyt+PYrRt
2v1oYdtoIX74kOlhO3nVbV61E2iuBoDCIJgU3RYa1CYxJ2pNsqzdtz0Zrpml3YE1aPLZpDbAelMS
hxjHiCc1PHm2X94v9jwS+6wHELkZnR2B6P331O/VcSnNZRcWqj/OElDgvmeQoPI7w0C8ZYE19dux
qboDyUiL1H1Ai11gxc8gH7lF6HRtVfNF+svV5nhj1XiTNrLyy1980uX1xl7gpeNMq6j9Bk4hN2i6
wtl4futlEc/eQ5oYmXNNRfwgMK3HpacfrJZgnto0flWP2xhJJNlmU4xtLsD3/1llTMLECNrsYJu1
/mQdWlob6kvIim8UQqt5BRille94vQp1DCs+A2+6DsL4MiwO0EgnG394E01s55m0/ftiOPQHxuEw
tTwVjdF/VPGQFVEb9g1GH0J/ctcPbWXsanxtV+NsVTNCrt9bu2FksHmYHSqkjvjJUI+NuFp3glVb
JlE7pIl6QwBAkMYStfYozqJij6Nz80iINeWjoK/ObaqlwhDl1O9dzdS6jqq81SezPrF3z+8hvayH
Ifs5itBldZMtA31AQ92EhANC/rZ2/d7mlBwwEEtLs4Pp4vUy4nYvvfQyjPly5NVPCRbcpiYjK2ut
WCWI+lWTm0HRECOrBqDiTrAj/jcZm8Gchp9m1g7mVQZonGLdmH3/VtmqfmepG4qIvSIptvUoD/nO
2eywc9mBn2Ysz41+vJ6kvTwXnWNQhphrZ4HgMcV2XIChdF1rfhfDwGX/Ihilyb/yhEIV3kezlbh4
pKxFjz8qanNkRzhZVO/gUEveOu3SXdbt4l03ncUr5o5aG3sNKyNbff3q0JARuUEDGidkAWnTWWFl
E2uShGmurnmwJFyWm1YUcDjQF2sRBWxgT7hecEphd0rLc2lgEOJIhDcJc16hjlLSPV67DakIxkUR
D1HVtf4b+wBNmBeycbgtkgXbZY1sb27Y7QTtJm18/VoD0rhOvRlDD/nXehMHJtXCLGh2ue7qn53V
PxGd9k4j2y6xRlD13eAVThEZkODGQ8DqFytaADGcUZCogCuyeG8RJr1KnTFmv2OQqkoLzb6UNauH
dDWID2BhlLOM1Nzv4ZHvMrvG6w/uejq7RVZfEs9K6bZfyAD1DYuIqQmUwFzZWpcO+KJTyIqIkEYX
k1bkc2bhWw7nyA2bguRtU/o2SIcOnxvCLAzBufer+VBpB/qnNXpZi18WTIZIhAuajwO/K53u5X+D
Y9XLfv7Pg2PIRPFvBse8eEfrff+n4XH9oj+Gx9D9DasB54WN42flKzCd/TE8surHJ+StdTb2txWI
//WneWF1EK03bgYXm3nvz8HRAe0swC3DycEQwdT53wyO6Cl/n44sE9pDaDM+8goQ0f+5OqQd87Vt
y2ou3N4gEeMW+54lF2boPrgTzAH1SYSJAQkPvw/OntYbjCekjwzHj2dz+Z84ANi4l2Uo44NBC1r7
CLenuMRDKrPbntLINxK7/qtYvOoitZListeZHYUGF3NkUFle4EDFEpeHkFzGrDpnqjFwK6Sq5swf
1HIoZ+tAY8y4TZbUVvsS/St8HeXsBEd4ZyxF+mb2fox6QqiYbeGz8ZXpmScQB5SDbQhSaEKB9Pu4
EgmHbzhh3dZ5slcrCPrMajLtk71RlKa7RsZlOrHNZ3mmr2kN9gJ/jzdxUdfkf/l204lTiADxnLnx
Ef8u8bRdCfsG13yFRQv8FOCZ0BYwntBRrgMbEqHexAU/T7pI53JgyReL0KQ1dBx9/JMpfUofWhcd
1aJ5Sm0AbaYYutl3Vlkd0z03tIsBgnlgS72B5GiU0F9Cet83abBQAh2ROnOXbe6NCZtSstp2SroL
x3e9ZJ+s0+dOEPajwleAUcDajmGf8OLBzqe4vYbksPbcYak2QW1t6H91NhrP/Cbr0uqUGsZ4SISy
H3LqqtBaOpOSBRJfd1ahxd4L1fwOWAyzOWaC7ZzPKQgD1BtSnvkZJpJzqOnMOyFgD4e8Gimxbqoa
xvxYDKdgnCA2pljGy4oKOC9NbtDDKwg5xRR5JKIit2deybykPnZLGN+1pS5f4sqgTDePi2CzGKO6
KTLvKa/L5M5BTrjV6ejfwTgaX1NIAhSY469vVTrd8X6o0fxqySfjFN9SLjaDRVKGvdXDwKiDUhNp
S/rUi+XxcwrP+UgBl3FDEwpsTqSHcD/6rXOOvbg4GFgplsiCiTY/o0fSfxsX3lPjWdUDunQOqDxO
E4STrHGmLQKcP21pZ1tOVYs/aRP2XbmDBdyfNAP6QRd58uzA8rgMF4BSYLqFfmTd1HEnUC3xwIGg
4JelXQZhx1/QodAFq13OjgJuqi1uuc/5p1aLxwx3d5cNrgPta/LPFuYKuoblUlSgCobxBheLfQlu
k/YslwG4z2Z+10PRtXdM7NVz203VYYx99VPb6YvVAHTuiyC44Ddd7oBKuNu5U+DN8efcxV6XXlTu
1D4mUCF+DOix5Zqstz+yujUvjaXio7xpHP9CF1O4dzP1i0hIfLQE2XzQZixdYz+jgTEYfpheVrzM
DFgvju7lijsM8pcG1yKoPp4wz+jbA0tSexf6ut9LBYKvhgwHKqU4IF0Arg0rcaGnDn815TFQAvla
A26vpBREYEPkGmDK2yrOJhzuilkT2KjDu5idbgpMvtjI3ugi12jmXa0HELoxYVx+Lj3ArSLdJoa5
JaSrAcuEVcRF2n52fcO56Y32SS7tQ6YM/3MS4BsxTa9JU4Rin928WrJHv83cyxIfxNnsmbK4YceR
L5NT6Hb+1azbhkdj6B4WmGURHob6wxvILiq91LdOHC4/G1aoFH0YxEfDUivwdIn7lKQ01nkNSIGN
LpsZE3iYXLm2Nbz2giAuWDCqeUtzi+JlLczv7cUgVfLeOan8VWhG5W5szvYQ653w9BSl4wDwi8n+
6Bg+Ssqk9Xy2JxXQ1Ohxf+t7+vM2uZua1xbuin3LdIVmYgb1XZ510MVVb7FbX+XmsZM4YjAB4UNI
Af1OR5u86X2t14UYnV/Ow9jHwc9cl+zhB7naAYJVPyfXMd+7RoyShkr1PuATuww9+BrMOaubDdrZ
dJtYVYwVK0hxz2uavf3VdDCzY732kermTTLAvbYcxCUUO9IXJRPuRtFeezaA0l7DugVbokW97c3p
g9aT6t7S3nxKjLjb8ocioGR4slH8wgNy13SmtQUWS6BIZ9at+KoN91Oqxj5bxAAAmzVc2osw2zVs
xHnIYYIBqAuuQifPz3C7GAWz5SM1icQ1JiOcO01Ptdk+kDE1t4HVppSNc4OQcGX2ktXSwaTe/q6x
2pr+IBtomtvp7pgY6XWRj8neHWQctVVrYWsV7iFD7NnzvH9kSxXcN3antymD4mPiQ+iw0lZd6CzH
Ed/GorgSNREb0VXjVV2ZyZHCgpkNfun1BxcV/Y53bhlVZqhvJRrIZzMhJ21sZRU39CUEz4kXuxe8
QrIxwPK2tVDcFotclLdlbAhqGmfa6Yhsb002SdHcmfJstMDqvKqqD/0wDZE7TP0r4Di4+QFFgqOf
v/Wd9TNrVA6Bw17Ooy4TcsadTm/dgLRZ1dVULpSpvZ2dqfuyyMzvBmseHjIId7tvX0edsPlwcVBE
MAniBzla3TXLn/6gQ6fhVUBFJAfjWLtsCWGQEcBC929T46SR3aWLQlrpn63pFm+g9od9Aojks6Sf
bzcvYNQ49t7SoPjVUk9/AuK92hdy8ieC/6LOOtzMEGGPZBDNk8m2N8Jzae9xNFnnRRnZR5gFwLyL
1DjAGoJ818XFXdYXDhp2Jveqz5rTwECyG4jSHR23XksPmLwMXYtDbqfjpSzpWMU8hyTbW4YRmSi7
20nV486hvfajF1puee2PxJms7TCn3lGPTrOV4mpxtTpWbpljMwjtfW2Jj8ZUdwOlDZsK4AC3xeXA
EW1AXTV+0BAHKjIlKCVp39h4BXzC3Kyv6QO6883uACUaunQJGBZm3LozuA/IQlygPSb7CsDrBqaM
vfFkhYuLSHu3FMk+dim3LQ3jPuwmfSi8ITy6c4YQ7ZR3EGduEW5TKjtN8No1blOvmEFvDVYEkaI4
dCT8o34BAuAmdbAR6UC2Y3QWDmHfuTF6nBOc7f5j79ryuGTEZ0Jh/aJhHabRTDaRTktiaVIJPsjy
lM8DZ7jTthV+yHJGDzZ4+9WdcfSmsaLjHfJjSAvPZhQrIztUw2kq25B0Z0Jdp1yCi7Kf7wop3mjD
ePrfXer/5y6FGGT92yX8Qz38Czv4H1/6px08+E3wR1E/DbT59+vRn9t45zdHQA7+y8Xpz/uU+M1G
XCYeRyja5R7AlvrPO5UNAjowhc+Da3FLA6HyXyzjCez+/U7lsvQ3hekiTfI6LAwAf993D0DOqjaT
NUlln8VQSISVMt5KhoeUEMPeq0CgsgjJgjvabZD/bFnJa+3RBTYCOgmi1hnw68XSeWHSmm+Ba1UP
Y+fFb5SpY/hFPVP4RRZxpOyCjxGSveJSri2lEOzqaaun3CsjrnMks1Juf86Zukt4XVZNbWrhCgfQ
QlM0uyaUbBqgYWoLx7WXTtHCBeyrK5kYMEvP7j43OvcmZZlzm6exuzXqaTR2ZmM49LbMrBa5u1ZZ
ZDipnaI8dPCh6tm7sklrqm1vY54dSse50EvgnCgPM6vdVDTjq1nyoiCXxf0v/hZKHVq3YkseD0Bh
GXsb+E4+J8PvXl8WkF7L9aavc5gTmjpik4z2DgNQ+SX5hR8FuuCtVwnMpdYi48/FEw2IGyxIL9Tf
cMWKeWUvLkPcS6XN/B7AxnQbTzK90UNcPSoW7Dc9AL75EuBFIvjAomwYprEfYNUrCyuG39LAdlpS
FdxNOa+r8RQ/yMyKaSMxHRlT9pJN/t0iF/VmJUFwGxdYGDbM96YVxSEe3wijYL33gxIyIPP6pEp1
k1tNeCvAD3BXhTR07Pj57UfWi+fCk5y8abpaaTjGp3QsEQpFVT/gYwvuDAx91xl71204B4LQO55c
qtawjqKenLArORcGrOkTokR9k7cNsuXilvPO8zPrgsFCb3GWDG4k0Wu642KUPd8zIGVKbJqfmhq3
15Y104syZ9fZhktDNyqbpe7TMkoIH30KLC7Qc3g3Kcxf8+yGD1S1JXcT6YWE/jNuS1tBtJMe6w4J
kwAqZilkh/cAU9w276zwrJTjJ/thNonHTlklj7Hf9MtpGGBnHGQ8GGcb44/G5eyXmENx5eDDgu3T
0zeUCxb5Wg33LNgFw5Yz4RQMDMvZWK3nPVXW7F6lv3tinG+DDODf1S3jfVtnEoKn+GiMP1w13xab
+dtu06zOG+PbhEMCFENO/m3OcX936gR+EOyT9tvBE1Po3F/039ae4tvmQwAKgw9LG8GtfXUCURhl
PDDh0xSdx1d+WfKpvjqHUixE8eolKr5tRdnvHiP7d8dRUpo+0OnViSQcdAS5rCVIq08pXh1L5upd
6h2zOIHE1c+SATUywrS+QiZqdh22p2z1P0kwMewkM9sKkDpS/ex5ceIdebyNx2p1UNVty3JhQFpW
CFF4rCgxoo1l9V0x9HZYsCpew3E2JdascbCHaO6n6dIARXyCPCyiOazu6yU499xnUPSsjjm5ni60
zIadDx5l51L0Q/cuvfOGa3yKhZOmiOHzxMthCiyYttK2NrPq/WsuzA8ECIi1J3rVOcSz1a6sxmGg
bmoe6hsdmPdA822YgjTCokOBIHSb1WDPbSDAL7THcrHtMlFdmpXqfmWzf20udvxKzFIfJ90UD5VH
x2M21h0bCrA2LsjeW2j1zr5Z/UBaptQiecu1bALyoK7Zb1OqaPaUkuDONfgqi1pcULltrTDlLa91
zPUOc+jNotqrXucx2/mU0m4iKIcmrtp9Bgruitlb33gdewrJypk1bnOopBXsZDzHe7xGGRcAQdOL
BU9iqen0K8aR8h3yM5dzgQt18JO3dZMeJRYFoLmP9RLSVr0p+rp9IZWuj2aZ9E9gj3reGNo4JO30
NbRecZjxd+76FtfWaNnxm5MLo9xMa2oISaLMcCfa5mnwWFIfndIVlxURl30Ysq7ZKPZDBzXk7kUA
lX07GYZ/N6g0PMiFj6as7CQjrctAOHqLfz13DbAerBoy2wWN7Bn5mvg5bASPrChjiNBDCsEgaH5W
dV5zG59k/kPhXGSXPgKNl3awL3GgH2ooxq9Kx+YLw7pBUIo8VK2r5ZptV305N7o9lk4Z3Dn8j6vO
m4ybbmUA4cowt1aIZTjpkCZastHThstGbl2IKUvOYV4GIVXRosEjLQd/m9uUJ24aj+2Nq7m/CVLm
25Gl6LXDFXSDHWZqN4bCOuajOB185ecXXGZQpBQXlIbd5nOvzI4lVFc1kRy4kZtOe+/FWX1H5715
7WR5FQWE9tGIeRu44EUnu9tOVuoebUyem7FzjVPL7uOXw2LsF87WtSkJbNuWm7EGYo/35aJaiSvb
bG4gNQlpPdUwhO5TliWfgJOSnQqb4NzE9psRDl9SVskPnAektOfK3HaueKpcYeCj7WAmOvnIogP3
4DI38VPSugd6xt9ib/gI7EYcQOD3pG9YrDpy/jGPcxj1RW1Hvk+ZGxVNm9ExT1BVUbotW/1KADoT
mjHqyMbDeBztoaq39jK7O8gy1m2B93GXdzq/qyzvukpQ2GDTDruyt7lT2TTq9FudtlrtOqtcrpO5
j3eq7D5pNnic64hRivmCUmKYks6IG5TsRyQoK2g24Xq4Qipdh5km2PaUm24mPuV2aRVTLpPnj4bt
sUMknf5GPBRnjQz8X63V3hM8/YJQQauLxBBr+K8V3nsucqRPptz0L8I5Xs7KpPHAdwA9JFRiLuFw
AX0s5uxUakfmlEKrZKShYZrLkzMqEFlcejLPepJ6zs8F73muVp61t9qOxt2sRz03s0M7Fuqi7qcH
d0m7vbWkFWvPldKRLZ+YyN1t7wz1A+3141ZycYIlUToztcJg2YUHc3OuunIPSL3ctEbwESf2Dxzs
8avZCOcGXwluzECwL+h5X4mP0i6tE9Gkjho4qS6B2teXQ2P/8ksNvNUibpc3KfvmQpG06/QxUFBG
O1e5O9mADR0DLz0wsfj3Fi1sEcpWtjeZHm/syo9v6Um6aPmlU5BB3MO8TufO3eJ75C1qBUk0pxN9
fVZmXTsqewJB7N3HUzoclJZiYNdc1fdDOsAXphHVB9MuWOhuXD7Sz0bTeZA2l+eeeMs6bDZWdYMi
mGxdHV6ieH5BOTs2dsmm2zBvYt3dLAVFfGkP87PzCdyXb20BfG3ppkfdDbfK6lnLVVdMa1gOvQWA
QY+DHdh7zgw4JLSO8JizoocZLxwp4Kj4rjhjcQjOXtkA4EKptGdkX+Co5XJrt1X+P+omvNn/LKI5
XN+QsP61iPb4a3rv/qqg/fEVfypozm/wiInqWiH8zN9R4/9XQfN+8wj3+swqcDNoz/mHgub95oYe
/wsfpGu69gr8+uPGZ4vfMEiCcyI2zOy28rn+ixufhWnr71c+wq4C/2mIeGKtd097hVf9xQjK82KM
MG/Mk8Yv8jIarr/pivkjmOziesFguEsN+iUmOt7vfR1c4YjFDDFmzYOqjQfs2d3FMAOZXnldV8BP
jNMcO158GOssvaVt0XgffLA2oVebzdENYp83srCT7pYakNm5c12Z2yWr78LyTzTdBPY1+GKzfurI
a0A/MegndQ4q75W6QlcgjrM1yXJSzIHs1pdUCMawvzHFJyaHvCJg1jwVAYEi/Ndk0KyLNJw8UJxI
W/3OT02326eFaytALYksOA8BU5rmZiIEQI6O9mzrwq9nVuVz0jV89NdWzU7MpQH1ENg+TS6QOQQs
mXyWfvYYz4YxjKQa8rGJUizF71kVB5+Jl5H2I0+K03m34gFGTO34+U2wuy1kzp6X0B1ySrgviX8v
dHbC/LiMM4tPNN3zGO9HfDrjbqmx9ERBnR3pCFKvUyWhFxWV00OGmYKdhpD1Oo9Aw/DLp0fZyYcE
Awu/rCG7ajjAjpmtn7MaOStDutxYZZgc6SjEEdSUSfoiJ8nVcx7lyQ+mq9ptL1NUpRc6/aotOsKt
U06IlNUYcjtOvI9+ivWmHfQrSRKuB7hJ8sk5JVP+PI09BUahldGB4/5MJOgoJ86HBzALAB24px24
H5F+q6iT86HZdH6KNmlXB9Rdijrls1fYX+Ts+8ulq2FV5cn1giECBbF/rcvuohzr6kgVqkKEcKKJ
cr9NNyOoKGUC4W6W2zSB853b+fOa6o4GTv1dXo6/2PB5QLuX+FaHyHcseo1NOKx1804c5ZyuB3d0
GZYhttgQqKNxRNtL2NxzkON6oKyyvQp6be9WsNsJcVbCmlrEZjCSdLt0TfATLWA8lKOQPymbRKdh
JbFTjTDuEzW76KDJL9xI9Y0wKPfo5fRQlXNxIO1F6apU8ljla2Rdmt4GRxDuYnDo+x5gxolzId1T
jRfuQdDyqZUa4WH09C9acMoTF9k6QvojCZwMEurRJH/W7GO3o6BiD98xcFGz7MAwO5CCKmha+Hs9
wGFjsUN3IEhtT4+WqMwNbUjPRhGfFvDpm7JT0MV640VQtbRx8im7SBuBZ0i58mvtMHgDc8NnJ031
uXbhcI6N59KPY+bncsyHS8/reeKHNmgQ4xfjq0ZCR68Cc0BTkR+Y+Juykc+2uZwMUDfmcM8GRfsP
hZurWwqhaf5q4lZeK/hyewbeYLfWH3ONob3psfPKHgXEWpIDjTY2rfNJW7Jn7/nbeGOhzFFy/zEU
jbM143G8zXRubceRt0USjgVGsGmaPxvFobpLfHe+wAJEdKqnHRTZhLcWZK/ZM6dtw6tdDYy6/7JI
X0tu7DF7r2kY0i8Qo2TDAx02XMbMRulrOxDdayd4twC7daF0W2NpXqZVWB7Q4RXihmEfTJv1bZNT
fD5n9OKmNafEBHO+NrkzCO4GKzOIXLpqnB3iWXFgXiKTGyw/Joy9zz6NU9dFZgCiyl/sRZpUwFJL
VTbc5I3Gvc5MO4+gjmeg2eVn3AVtJG0ln8s2Q7/BJCqv7HYeUXcxs0WLVVq3LLCe0OFy9sggEs/K
LeoLK8Q64TvjeWSHdu86ofGQo/a926WQUZIDxlvKkOqJIUl5jJFMaT0jgbvn0mdeeTHQwj7uufX1
fX9ddGkNa1Vi+DTM+dCuTy2aqEemjhxm3BAQNuhkhbs03uJUkASYu6O2zBTK0LrYboKFZFTsVXcY
hV7ptxRHdyzDj9bu7vzJZUHe5fhAnaCHHrCuz0nh7mxnPLmFFeBf4N696S3Vf8W16+4yozcuZ4yQ
hBBZ2FfmQma9nnCHJcG697c4D4L5WqKl3CyGOV7Nkkrmah4AyFRs7qcO1Oro28OO9X1ySEN32pja
DrZhlg0bZbWH2UhazuD+Khw4tRZnnjcYV3gnEp079blLA5WmQyKx9P0QLESzAlaC9ap28L2Fx2aa
DgaNUafWHGNu1pPJFjEsP+ZVOTExG26HVU1RHd2z2bfEArune8SlAmQwyOeocYsw6vrmBFMYV4mh
vqbGfyqlX++WEJnI7BTEhBmktOFSr5NWU7ofhnK6MPLmc+W4M24OSOwFnlW93jptv7qxmUzQU/nF
Vuac7fWqGi2rfmSsSlKj8PniUKGpISHXZwR8z0OeFVjgcs67xntbVkWqWrWpNO/f7DrPL4WKSViC
493EDl44KjqsM++B7tCt0pbO8y/sbOF+Ustbotb6gm8RLJtFfBXXJFOwGHP0k3H/Sbm43ppF397G
1A9u01VH024w8uFuo1ebCV468cWN85fby2JfCAaGcXJfSiyWoN265rkI+KOWFseI4ur91ZJQZ9TP
cG9wiG78VdSDU5LdhXatTua33Jf3/BhQAYcyNiMO05pTW44vADv5wOidBykpMRgTlk/ZFHCue7L4
idnXxpCM2Di4pbfPKDSmPd6o9l22lGfbsvWunxd3Ozrzzy6NZ0D8nr/RIa+B8rx8Z3Jpfu5Me7nN
na7mB7qAdt+k/jDRGpArXv7Y59krj33es9SpgsfGF3ytY84P2LhPEJz11ijC5G7oCn0raHZ79TPv
QXie3iK5X7t23R2dIUho600ztcPJxw+a3a77xJYSopHgbjH3wc5dYs9egY/JimcmkE9XI6ZnMurW
Nqltlm9TxYqN3/OqwtY3o7X0R3OZ/KM/ieBN5535ikv0I1Nxf7OYjgGNfEzHY6Z650aU3sgSPKMI
EQt6PyKhUR9N1Jl9thC8I8zyngS9uCdN2JlbTk2DEcNW9la4XfHVtQ49kTyoCb9TIPdrsLT1DkpZ
gkemYgV/5JILFxvp3ovmxHlQkiYtvzfP8GezH7DHzZ8Qoi8KTWAzyuo02TaJ81l4nWANJ+0PXBf4
lxZCOPmGfN50Ut8WB5lTEhZRRjF9mKsZQn3bIlaDRLxaJUYaHg+EjG+xkF3GXBHpQefjYDpaxkLD
3uiN/mcMcXmb2p1/E/ZCvgjVutSASxHhGyp2gspMkuBqYZnTsFOue6e+bx2XLmpafrtriClE7s24
xs3TqwG9sg36MkI4wGCyWk2Iy2f7eLWgkOWwd4rXdehbzzhkmEPLQ+MX8oXTLH/hI274UdDb8ZBn
PeWFhEtPptBMvHHjXTTVSOBZGl1Mt7yni+fEltl8ORozNu0lJZIPyKSGZoiFVMHNvrBXI05aTla+
mdyKevMxobDDxLXTL1P/YgbL8CmUHo9BV4eXdZb1N26Stk+1I9qc56/O+shpvCgvBe4ipqvlOQTe
WWdcHzpaoC1O2C33JECrS6gcApSFmsedzHgeLsPALctdsNqbNCWj3o8EpsYSjQGFZkQW3JAHscUg
RfCSzb+bu9615+Tp6+hrAtiEvh+KpYJHg5fMuCqqSb7Gpaj2pJ2he5bLVLDxr8wIU3wSbFz4OQHG
VVxeJv3bd9C/quNUcry2ZfhAtKJiCGuGn9XqFzNSP9t7/ZJctt+Osm9zWV+O5aOVYt9xTN8+6NWF
lq1+NECaaQRTqdgqYymQYFqaEfXqY0MMa9tILAg52ShzwEgWLTPVQqmLnVXHwZ+SW1s58Xwf+Flb
30wJhJooJCJDK+s2wAHJsFCyIgVOQfDXRgj4ZNyUKxgt9xvtPhD1/oamDXMd+G13zMIUGiM4NhBr
xeQaW6+DPIa/sGojp0s5R6cAv0+Ns/DYp554gbBSDhGEN0gnbc6z+DP0gjgyjSxOznJcSfi8hdts
RwZBR54NjH2bgzLg9AFge8b0qI4D+Y37qQHEUGK0PyzCS6Oxp+2d3ao6tbwno6F35FlloGxje/C/
yrZ2P8xqXZi3knX1YSrVY5eHsXy1LMTLEns9W0aPZqtuWVamfBD8gmiRHD3g8KTvUXy2DVXtz0um
zZ30OJ13IUSifWd3y7vJYH2pZyU2Bffj2lfmoeaPBSHa9HdKSfUjndzyXmtLXCxK6q1duioSqUWs
w0pLZ5fkGLSgojId/B/2zmNJbiTN1q8yNnuUwQGHAxizuwmtUitmbmAsCmjl0Hj6+yGq6w6L3cOe
vuvekcUiIxGBcPzinO/Ui8Q9xVWjdVLeSlnnJCAK+dJQRW7ZXBCFVYhkG/KsozhH5jVaut12mXtk
1ttvShr3xzaM/Z1OTeuzA5LyAE2jWgWszlYZxKCVG5fRPg7tfqNLEFx2nCs+3iYafs98FJJIse7s
MfK/mgW6E34SFKmmxVrAmg6kS9eUUl14SWlpxxVRucOW+6YmOnt0tjUrCfKi5szEBB9H2yHIAdVk
PMaD0Ug/Gmp6yKVufjDiwEYiwpOkGFRB7mTGFAxY1ISkw7Z3hAsinPFd46615+mxGmBfsqq8GXFi
srwrbE0FbmRbeJfRt6pS8iYI4piDtg7xzmKSSRsO/o74wykDaYpzCPlQ2vY8dIbpIWpN/7YfQ2Tt
jDoPqYrB/WYsSc2mLE+xKe49D7F80zTkwXeL2MxlK1yQlE3sJRvL29SoNaZJUAIiC+QqyXz7HXWm
C5mwwQOZx1H+blTNO5LBdBX13l46oyDfs+q/miMPVi825+MEX433r0OI2jstOSFAw1jpsBtK3BAf
15x9Jscu2vZ8WlA8xk+wns5RCHF4rjGvZJ+apF/ut84st5CB8ciMtr1VCxAqi31IzHHjfE7Rh65y
CMpramaifhb4abaFrLjuQjkSmqySgrulcffCTN21pWV8ycIwvWf+YJqbjvBLb9vjZbttWupt0EkE
IC/jn9FrqqNf1xnpbP18YPdvfhsKWrSEfLADGEPCnozaQinkMhGo9Jc2GtuTS2rtysTOdWKutYmi
qTqy9Kp5ABvpieVo/zCnUQi4pv6dfo1SbCpibANzkh8J7u1Tsuqa6Y3lAkasfrixUQu8Uko9x0ZN
eitklnOkkCbU40zhWEZY2OZlzN4ZelP03Ycv6ptBTDZ4b+u1MDjyMPDJXaUgMg2O7b1Fo8hXQGVY
cJtev0ZW6DwTZU2M5Jxa52KKLrFRvLeVS8pIEz1pJb7bnKS7YaI6KsIKG1JpvdsRMFq7L+TXBv3e
xgy1jc8lfx1xXH6vqtyYd2HhEXXM1IPie6xIZptV/khOGxTiMkzEpq284KM3OzYeY9+D0fWn4bFG
AcnKzAvY5jCAGHZOI6eY4p9xucxG5Fad7T8CvycFurKdUnF5gduxLohag29CvlVmqk+MwVfDHGNI
m8Jgw0dVuTdp4lR3vZIMCUQKGM2a01isYM9kIEm8TDTbzoyqW7iF3pFf8Edp4X23QutRJgThprBR
Tlge09Pk8HDFwfYlSMFJ7YlZwautlo2Eiw3YycbTHLuwaUzxqnkkYSlBAN1ZyyywKhhp+x3JsEKx
6HFgBAUxWkLLoRIOG4sjQY26Hw5J2R3cvv4Ivfk0csOTG16x2QmNm8Bn9zpnTr1FTniqBMJ/AAru
1k1Vdqocxn9ovJo15NoazdxorQOCw3XYP0DS+2rmMXd8MDks/YuHWi7hLfnkHguJGNY12mhP78IA
cc6Nu8GSbzEonHMbGNVm0Cpeh5kN8tisQngiuTiMoAU22umaI5xRk8lFW+IBB1oyBP5DR7rWIQkQ
vkXl9JES1bu22sneuamGodLavwdOL54Gz0k3amTvvkb+PnxzGrd/4uxDpKYgnrqEjJ00vHLPFMla
BAYIOTDKzFlIJdxqM00PvipuZJs162C2Zbex4sFnpx2KnHWDGaWnBfUu/LmEkTNVnxtRlkTuSnvh
1c/zF9R77BuImzQ+lyrXd66ZEYrMA0+j3XZHgCWJvrjQiddgY5NogxeO1YoMt3Y+Tb9TZ/HVCqv8
M0nV3l052MHN3EbdFyNW35EeTECk4JaeasbQD/MoA9g87lCsq9gcXrzR6e4JWJfzrR69Erijm5d7
pqA5Yt2WJHRkwkQPlrgrWfXHIznhMZY4JAYVomorol8IjFvipJ2eeONGHuKgf55C54UKwXmqoerj
NJ3aA98DhCS6YUvne6+DB78cs6j1FEJiW4Nou/NEE3zOR3hvsHS8NXQLZAoZTbpxHiyKmgspmc2q
bvvoTA3RjrsQTMsasZTqQFdx/qxUS1Id+PGB0BwQZpB0mIVR0+RKrAqaG8q7oazg06hSv+pK1ue6
9jwkx/Dt8YGZzPgmMHrriXPhXZGDbN+yizKfe/4BtfGIwXnrUuBJfI0DhkYMqIFtFVNzY3dVd3G5
e4CVVQNi0rqIkXRWFWQ2Bjw4H7uQimkayIy32pxgvHaphDhl3iG8uB9SRyAgiGpvD5UHLK82xpqi
1ZOoL0Mj69egJMYnp6sIUyhMNmUr2jCPT8LwX7Or8CJC4b0pwoBoGmZq0+OU9iPJiXzRtjMIJihs
DY33aPGIpgTNq01vV98HyustK4IHwvqwyjXKPFXIpTZO1RGxEAf1wxj21luSUIFjAuTAnrUj7pt6
ofggx/IeG0fzPOUsK+8zbBVvhoy7kx3VzGUWfOiNnoz2La0M89YkQ2pvVQS10rw29kNDWsejbwS0
L1oE/tkwIut3iB/pqW28/smybIaho9XxLS0LjtVV7njIRYlfQqhCXgJfykHyxOoGpoIrW/thcsuE
v+V54ms7OyfCmpxdqwaHTzonv7vVIVHXaXM/hw2ORTVV1hb7xPhsEiBwSiRHZZFF0/esysU7yegU
arMCIsekQ99GPoK3VZjE9VunyLQeDJ66YSl5mHFLbWh24q0ZNsm+MtCdrBiNnnUwukuae7utYPVf
KlEUDZW9MC8lGOIXDMEtnscRngYKJ7lWWgYcJ63xUKV1dQtxzzvkmJ62TT9X+6Fhx21XBE6sDD20
N16W25+Y3oI1wxn6bFLfXXRZDwQXUP0zznSZ0hggCqOkXwOtBEvFLoNMoia/6Vr/i9ELeEoixyYR
Oe3GIKHxxu/5amARjtjt2kdYdt499q7xOExOf1KGOxP3CUFd4inmpvHdNfNmfWrwRN+gdE4vcD1+
J2KT2IZgQmTuTZ/DKSd6XYLVCUixj1YiyJmV6ekVg0+wczWJkpU121uDG30f9VWz7jXxi6ArmdmU
aTFZpLGQCmOPYqPQdK5ap6SWNWf9Hmcw22kV5sOkR4X1WbDG9dySObCAyLkpHKvPHkcnIg8j4mGT
OIuQBGBKejHcejM4rG+YsQoqjTLaCeQ5K7+cb5105r+bwUNjj9PdAAwImHT66jfWJzvksHaMYhtL
m8AoQuD8AqMBDrd4MwxRuGmMzNyQgVHuLJHKwyDzvQyTx9nD9wpZ21n7HSaokLgvDBVErSb1G8C6
5F6F3SEwrAOFVbvvMZd/GCNrEAudtW3iTDdnKuQRTOS+wu+6QsrxOfeT+mHo6gfUdtm0MkuPR7tY
GsEoM+48DKBr9A/RsS5M6yJ746s03O6mtAq90pz/q5g1GIMeX35qB3btYT5e+qoajzqr/+39/N+t
rUHosOj9n9fWr990XhbtXxbXf/ydP4XK4jeQSbav+JCvABDsl39bXLs2rlDpmiTKij9UzP9vcS2d
35Dskh5lQTWifnD/2/4prd9c4PGMXrCACtOR7r+yuF6wID+gMSxSmwQ5VPyEvMiyI//r1toTJODA
GnMOnkc/nUcR6YIh4IAf3pP/Bf7DU8LmGglPsH2W4+ZPfJ2gw6Jvk1tz6JICN31v+jSwY1B+LEm5
97nCfJ/BqQDUNMMk+fVrL5/Xj5cIMBzXD4kcyAfoKHmz/3qJEfxnUnc8/xBKv0w5r5qBuR4yasKE
00ceMOXn0M8rn+kS+5VmnuJvowHcjypH2ZsMyedq6lCotJT1a7s26lOXlhEStGSpcbKAvfakETVx
JNx0jRs85mShbP4/LsJFVCBwhjrcSD+9g6aWFQbSmSXHjI19lMAicgMkLQXg9FLboFMCkUJHNnJC
noV5Jbp23gaQOPTFNvYXgbQ13pdMaWgEgUIBDZnxaaY40f0+ZaUzAH2NuxaS89yiF8hRwf36Grhl
/+5zYLDh4zD28DRbP2niYUh33eQOPjEE1bDR5pzRqekJrV3y/devtODifripr58482YbdQexCEhC
/vqJ0wk0y2LDP/R2aB6mFqpvq7z6pFu7fjAd1NK/fr2fvkTX1/NBy2DHlstCarkDf5B+WKIpCixt
vF4Y6wdOlGY1d1Aufv0q/+D9kxDubYemFwvDz1QtX3NcZIPhHbQFxgw1w/fK9uND2njPv36hKzXt
p/fPsQToOb54SNF+PhSSEJ3NwD14sGb68tltiLfxuWemiQ9uyu1lDBMpQl/KNn1EOOFdqkyx8UEQ
/xgRV3zOHad+0NOCDVY9aqpKLJZAQiCYeyxMojKDXhBzb76AcwbqgZZf4rlJBnTJMuRFxmpJcPFw
+TSWat4GNceHX1+k7S3321+uEkGK4GhwLZeaxnfQBv34qS1MjC6a9XgYMIox8iGMBTh2c2RUle7K
JapFkdkyZprwliXGhZs3ORB20+16dqI7RjT6tromv7RkwNSqMN+Elca3DlK2D3cgKob13VaLwXoS
fl5DHgSOudYUX8+Wmfq7CKYIhneiZ6KwsKj6iaPBky6SPvzgOEsPqiWyJuwsB6sZMTY8XaJDTlzQ
1g5VfMDlOmHHI/gGgL/YN3bpPeP3S46JwdygIAkVt3UYfImwz6xzEsqPZBP1dxWAznrVL0E7uUfk
Th/gqat6i9JVVt0a6jdbuFZguk6xyL+2JPdkS4QPjb1x52D4/jpN06LqJ+onTFt77wSSyj1R2PVm
WpoNFaaEG2Cbz1XX5G9uGKXfKxGVKI1Mf2IbpVFtrobStOkIovGTC+lo4y5BRAQmZsdkSkYg4L66
U0tgEcHCS35JHg93jOxQEicL2JqMI2MJO4pIPTKW+CN0TwaesRi+katPec4CMVOixibtH8feKG4J
CgX9PRa0bqFmOmS4BfqR5LK8nygbk2pNxqGxQjZDeBGBYQ74eUybkXkkFS+/yIAwJ+Oa6yRg9tyK
zsCXOi3BTybPF1pdwqBghXjHbpb2Z41B+p4ApYa1tdn569ptgN3JHUwD7oglZKqrbftzuQRPpZEF
spyhf75aKrsXGtGOqhnzHPRdVJpLgNVAklUU2Q9WQJAcZ1t/RKc7rSaDrIkVcbxfbc1nznCteph0
dhMHxD2CeUox/GcdExpitKK8JWLFpDW0wNOboWQK64/hE9qaG+wBH9ESyBW1rfkYLCFdiVZvTG+R
LRQF05omWRtLpFcLYntna82+eewGgAdEf5X9TAgYmQirLgG83S4RYS5dC0cUsWEiv7oOy8U/QKgY
49ViPS1BY8YSOVaBfthF5DWtcUiB8AVSulDvkLNseAylcDs9RXrZEKNGCok0001jnB308pd2CTzT
bAw/J3RVoGYaF+7TNRvNtJLqbr4mpolGEJ42CXlkWZ8dxBKt5pZ8XZRBpFpK8BJzu25rYXlnGRzV
K+YtwXo0k+KL7mX4KQHs/1W5zfTJ7vVwyhkzHNPeJ4UqrOQFHyXomxYHADrl/tihO7szJib2RMmx
HF2x+2vEEdeXO9cbUStgzGaIFt+YxxfZm8XOXqp7M8ULinSEIKwJTRV2k3gvVF1cYibfzAmYMzgl
v02KLsWrocb6OjjcqLKb9obCpFQ3ZkrkWj9971s9lLeE8GSbYOGpzf2EOqlE2VJhgd3EIU8OMUPI
ssyu2jIRtrZcsT65CmL3gMlkY0XmdEbL3rwheZB3Fl/U24mYvm6TBqB3kdeU/TfoaAOOJpO2DQ7W
l4gt2Q7uj/t65SoVjiueDZP6guVJdJemA9VJT8lXlrAtVOjDeAqIhqhXnYA0N5oqfcwwdXxKEjvd
pOY8bPCyjfeGU2HISIV9HCTRghU279eybbC/MDn4OhuRecgS4NqJ5iJJa5tvVFYCm0L4eJgmu7q1
ozk4uY3myTXY+MCUzXgwKYtq6+ueK4f0cYfCa9g4nQ1BuyW0XDoyvJvdink5qy/+juVnQKAYH647
bfOTpJ1v7vu+5ZIMJUL8OC7gHbQDztb2I+dOcDCwb8IpUbXWzPpXZWvf7YITtYqzrgLlI+XK9KlX
3K/CZlJBDdy/xuB4t3Zp1adkAo+xorax2DDk9R7ihXNmkWc8TrwAwE6W6Yj22S1unClyPsD7MoMG
2tY+mi6EWOg/3aM2cfRoNxKf0DaemxTPDfPfct8kFv0/9aJ9dkYTozuHgtCdfYt/mNkj2jtYxZZa
91kCxsgOItIBumcmpYAy2jZeoWRwtggwEYUXPmaAKOz3uuqnaM/b76ZftPTq6KKbvO65m5mqo9zB
m9/m2txoGwfExWcDXHGyTuQgYu+Q0S0arjGfj9fH+78pl/8EVmQ7WFt/qIT+LvDsNdYhZtK/wIr+
9pf+7FixyUrCzhSC5kVNvcAa/9tbi/oaW6uPUZbK+sekJZ98psWSa5q2UlSP6J//NNcSwmQrCjDq
Sc+yLEKY/gWptSvgKP21cOPlGZfzT/JToN5eyvEfym2vB/ZeTqGgZ0UDNWA59XiyETSA1qC+xIO9
HckgmAqPNIJuCSbgrMNTsIQVQOHtbu1SxStOAHvnuIEIttp1vPtoiTrQS+hBWRBhsKItP9ZB+xzw
FPbWU1d/Nhnc6XjDNjx8gQhTvFqtwoubD1QCPY7Xr05QENYSUfiTY+R8LkyoQcxqWSraFVXfauke
XltVGt/S0R1feODl4zcfdKabnOJGDrcMsLc6B0cRjsnZTNLK26seh+pgy5CeLDQ6edu1lhCc0qXx
bEiH3AGcJf22QkEBUR3FR5PHtcRDaI+3Qo+oXdLI+8jSzLPODR0sbwsAsYMYhxDOkmCrmSrG3ybt
+TbwBqA+oiaHM2jS32U+F2ceGHAUvVluHPKNPumkKbaOCCRlHkdihv7sFR7Z9EhakqDCbHh2EcZc
3SPANF3Ac7jOTAqwd45tHuENFIzIbCLc/nATyGjta/e1anBGMswfwRPPGpPtakwCYOWBv2RCUU22
1l2NS5pQCMzbz7r2CLesUImu6LPhloYS94YPDGRkYcK7zGEXsgsgxMRPGdWsrgDzEO4+bt5qEcG0
xMMtCExSdRqchYt+qWElYZNFj9iF7pH5dIRyDGJETUjKgLjwLHQGreT6y0wkfK4BO1C1qjs6P0J0
cv6OY0+pe6mWNBXLB4izdlqWrYn0GJw6ncIu2UsaoiwKQZiHIzlHyBdh+xUtcU4UlEQCaG/xoPpa
imdLOFxG3vXxfiB/FeNk65MYs2SOVHiom71sMTWt9NjMZx+NDdeZk1pFFjM88kTOXNCVkIJ+CLBy
m87kyKAu5AcYwLiE7LQS3t28D0irolcJ4H72gECcSdsQKuEWyw1zWGXdBv2SXdO0gRke26oHUByi
KfqKpxbuCd4/NLx4sUhuoprN9hkCpHoN2aFv+hU+SP6A7Qf//KiWi/eYLYC2s1LeQT2M/Je5Zvgj
FaOMkWqbYJ6GCRCzVGMtjYqLCHDT3ntxry7XV1RuB869Nwgsopvi3qx7ei5yhok1GhAseGtbOpgG
5GD1855CVX42qcNJzyDV96xMXb3XFnXaCvGsPoRx4siHa/ZPateQzuB062aLQY7spNqK+fdDO+Oy
Jiq/C7Bx9cbcfDJerz+ll9HlH7JJoh0nLpwf1qkUd5kBBe7W1xnKzixtgHY1amE4oqSv5ycMowyh
ymz5SC30trwnySJAayd/gd40+B11ye/9aYHO/xFUZZQ032m55ErRSOJOHDJOKDcBGS1zU0y7Bdf/
HRUOd2SijOWeEouKLHQML9+TvjhAkBX52K2jKh2BUqftsGl9yhN8k8OjuSSo9clECBp3GoKassM6
nEUFdE9f+tWl9ehIKgc2q2MZNToPC5p+l2MmXk+6cRfySnBO/Ml/5cNEWWRTbD0m0dQS3qSb6p0t
WcOiILHGp567eJ+gzNph9AMa04cOtXvbfEkMOAqs6vlaZH42PnkKnaBraW5sSw+ai+ENuCjmBFwd
2lgbT4mD87cF8mlvHL9gQc1bhrJipNVHBe27X+oqYSQmitKztwSZY/a1GgzyYZjII1533t9pjIJX
7bqcIF0N89S18uEOzZHcgkiz6CZbe1hZdcC6K2cEd7THhWmWeVFEXOUU4nSsisesL5FB9SmYx5VL
O/fCCsLdGZTT36Sb26dAt/Eh6T3xNXPc+dULu9HdgZlLLjVr8G82CJrnznGmI1R/UFuMFNdlbLwA
FtKv9PYNKccpu/DMJ2oL4BHJK6ORXQTNLP9tLHamh7e/CM35G3k9OOwJ1WzORNW7S2iBi38inwP7
HTQWy3fAvRghmTrTqOr0JncA1TnkLFA3ji2FXxzM7sUJ61utdP7NcfwId6dHy4rhssaa2o7eLUOo
R2J8rHHLqNIGzeD1jbhkbGXqB7pfQBAmZoBejTtk6v0G/091M+AVhU/aBfdFrzlNJhfnhlF1j+zT
2MkMIIpav8GVgNzdvlQpG4+XoLLLV3DC+ikb5H3k9PXjtIQyDGEj6FKF+1S4bFJAT7XeXY1/9BC7
GV1NGJmfQmsYzzLwnufQUm9dM1n7EkiX3jtDUS6JzhWEWrSL/hYyx2GsiK3vKuu+aTAnKvR8BBKb
kUkk2YzEKKhb8wEtfolyzDW3WaLFqkkA/yFVakmpAYOMijEKouEjqMY8W6Nkc7BQ5ojDD6AQCTo2
hMyIUKzLtTea7bOFXeo9tpBW8Ci0zbsukaxaaSePvQLBzToy+Rh5vJ8B63W3rWV+LDvwm4rpNLvn
YawUBMKgvWByTDY9Q8mnyTfkeRoT8ZAK1X4HHqw/Jj8s689ja2b9Q6x0QAKBntNjmKWIBmr9yZrm
4CGKBCYeheGVUpAFUivsddZQ0rgKclhjG3dat2rbWDaC5Qm8cNYO46VeTN+BM6FXitv+3YtVsAlz
0tD9ynfumA2AgEqLCOutiVXp1jWC9IZgNKvYRCzoHwAUOxtXdsOWt8td9VKNJ5aaxQcTaGw6ZfUS
dJV5Sk392vJI3CI/coDbme/CCo/JkDQXY3Lkp2Fgm8d3btKoORqxDYwoOjchLZzN8OGmc/XB6xj5
pK7VoqnF9E98VDXKyxC1kiv06O8i0mI3YWV1LMwng6RGbhUTJEc+eOXBysRbwFJ5FWaKDbdFk84I
adGYsJwUFUq/xsJFG420daHto3mmj1UrgCVS7HwJuWKFJNR+8EKp7j2Et0+llkhDNQ5dridq1+k8
kuHTAufSqKZQHr8os2afqdlHCnsk+oahBkTpPH/CsNMXUEeSbGcVIt6MVpbg+F3cWOyLHWSgbNXv
81ETb4Vu/dnUuj9Pjb0wwfmLPcbbG06gnsCqJm42be4/2K3Z76uii/itJaszTvT6MXJytAoYkIdt
VxawWKKhFKcO0PAD0nwauUAdQTVAa0uZ4JIyGWCKyrvXqIsYmMAUZ+cESzIc+/ClxzuAaGFEil43
9klV+XgYTeTl0o+8HdNGPgeA0gPZc7mJscJzO0WEVRoBsseqlK6r0SHFI+54OmYRrgzE29m+wqPw
in7SWPUA/Z7w37u7ZqyDhAGLwN5MuukGuBYUTIwS5qgFGS6KvT2xQHIzY0k8l3KSDGiiqTuPWqIE
sKwRIATnKbAOQG5rl/Pma1J36jujzmEbp8qZD5HfZl8q160PvvaDbbaUVljYifjuJ2ZHSCsIdM8T
BaemrtBK9tg6Oq+7GSphbQJSotbTksuVkthxJuShv52JZLVfeL6lN22R2WAkcn/M75M2tolLdLBO
52OoHlGZAsFyDH+xKSSUBcUgf0+FZYY7BEuo03qTWjBVIiVqdXwK+2y8INlqtnjz/BE/hscqnDLg
xsqqipN3ssNPaAfRUc82w9tA+u9hJ8rHORjgJ+Jp3NVpN12cxnFu6yKqyaCpa2ODgQhZSJm151HU
094r4vFeOG3zHA05upj6XHnzuKl9q77LQaV+gX7OrKSt9Un0TrDXofdKoTbsGMlselfLB0ZWeGWc
Pk3THaD8MEOHMA9iF/szPLJBavSo7ApQteSWmh8726x+H9M8g+jmWxk+VaypK7tAsFfYGPlTHIvY
fRDt3xv+NN8ZjPdjdL+x0/3Oap2B9FSkLnrmTgbWPjc43I7BqPZ1ZLuPpcjeKqIBo3OR1W5wsQvz
czv41c3oUMjFHvfCkfwY8M9zMqVbpFwRypdrMl2c8ys9rDQS3/sSNcDOiRn3Q9BAmf82L+F20tZe
6N6HVlXf8/Q7tn8E4f3Qyd//sbv4D9SI92VctM3/+c+f916+CWYftYPNqlVI+fOSMMSjNFkhda2r
tTwONp2oE0fW8zwRuetr8U83ej+vpAget4XnWOyOTUmp8NPiCx/9BImrKQ8F4LQLfkro5hzMnwGR
Ey1jld2XKDOlvA17r7OPmn1qAMEdfmR+g22CGMZrRBOzTqnvcr1EEBuK7EsNsu21j8im7FMAKSs5
FwFlW66QHIam7dPQk/r9ZKkll7geU32Iu44yE/X659Lph/YJxhDu37kVQKDWhcKv/THTT4AB8EYa
tjAgQza2wyUnkRPjOXdtIjCzqfnKLVN89+a+eLJB9C2s7kWfzDKzAloFxPES0hsZy9lp0mAx7HuY
jaZrdj5AckD9Yanh5uRcjiwrUiR1JNQI78Ij/Hbpha8Bm7/+0H9ePrJ4dJRkUoOf1WQ489OyM6VC
ZtuAOtJh6kunGWOdZrBKVPAfI7Uv43+F38p/cHct/9CP+7LrCxF6SxmATs36+e7yNB1cnfFCCMT5
iCsPawgrGT4fvntLFOkSex0SQKXwDmGz/vVl/v2rs9D1fKwNEmA15qy/Dn0qYxIuYlIMSEllPath
YJpNaA/1Y6YPJQxqhW7QpQkwhpy27dcvLn5iZJP7An3EMgkLFy6pXD9f+5A4RlAGGhKxwJuwIse2
kzduWhNsnDS0zYgfuPheTuW5xXLHgkUX3eJXCd0M3cEo/ljR/nu8+c/Gm3zTuDP+Zz3O27em/Y9/
OOP842/+OeN0EdHADiSX54r7WwaZf844rd8UoGlPKuELsnwsDr2/AQSlCWgCrZbrueh5PLXkav05
43R/Q5Kjlp05h6LlK/9fmXEq7+eTlSQhIoEINyNXCMLYz4l44STp8ZMwOja5251LrwCFXWAuOtvk
DSOnXaZZiNfFI6cpk58wW0HrQme7lD9ppDEFBkHn7nTr6ydCQ5DD25n/GpMZivEWuaF9rahoiepd
d62zxqXkauj+9K5LumCpNiRVmc8Q1VnJ1MHV77MeIhp6PNQgYQvCFxmiTTh2w9wLX+DKgFXrHR2s
fZWQhDi8imtlKINmepnbfgYGkDGq6A1z0y61ZLhUle21wByXWhNhOGXnbAT1o0MQM+OyGTaZhkex
B5HxEAdV0myiMRkOmj7qZh6mAqsi1e281LnJUvGypbV3jCSie9I1FOAgwBsE71IKba1ckQO51M4g
9amGo2HKn8IIUySj0ooSiT9GHy7OvohfwFVhM/aoyj05oY2hcDNqs9yE9CJkK8SyfUqZLdzjprUf
gmuZX15L/nLqFgedZ8wbvwv8lef2BG4ufYKiD8TExVtoN7Q4svQhlRquS99tI0dOq4Og6XCX7kN0
0R1K/b7dEBgks43LmnktnQGjEMEQktWn7vFaY8dceWpuIQe1B38o2hfZsI5bVfEstkZvaZxBE+2R
bgqHz8PpLrNnHVqaKHhvDjQg+ip2eq9BMZknf9Av8NslREGz+NDY004iolTMJy9C/jChMm2dTZaE
4WMjAdFTv5XZDXGp9W12bfP8LI/cVZWXCslCo7DZGsHi0uvfAx1YD1NdJlsnVONlmqtv7bWZLKZZ
bYM6Du9nOrrT6FMzJYo41qUPRVACAlfQVnYFT1lht5/CpsTL1LrpMbo2s8O1sR2vTa4Ow+bDHGqI
WEkvHmjhnfMiZHtKlYRP6RQd1WxTq3Xb57xlQ5XrGyaLH8Mou1ujsvC9D+Y3WeQoNwaYb3gP62O/
dOXZ0p+DexPNJteT985CoXuejYVo1AfZVtXISPD0L62+eW37A1UW2TorhuGDUW9pbkAXx+jDwB2h
gVhmBzOf8tZxCeeNi6Y3H/plypAu84aqZvWxHsWE/ZFxxOCI97nx303dsRq3fVYViL4xKcSVv5bs
q/Ueew/96jLkYDX/TNbgNxMTDgS9ZRTCOs48OJDlvDtQKRUGMY9ZaaSsQ8iZ88i/wNYA0+FtU8dn
RDLDcRQFiMoSbMaI4akZrJvmOpbxAoLUWYFW7/l1bKOXCY42m12yzHTgsrG7X+Y803Xis8x+OoZA
9FgRqenLYMgiIik/dAHwFHqiKTnTohIcEDdM3VdE7jg3jWMHW9fGhBTlgdjWVYtS2cUTIirlvUmd
T86qnc+F6RqHkDCKferRCGCmNnZOADHPN6dhV0giocmvST+NzOM3eVIPZy92d7IA+VIFk6BXwFS3
IrfXeSDUA5etwjKkBmCaXo8OIalzdrAp2uCSmnJPlk+87kUe3gw9gNF1l8zzM1WQc3SYv98wyzHI
B2eokZ07FvmbPGuIOoyhF29Hw853SXVW0/jJos3YlLqxjiO8ta3D/3XOHLO8EZlNNJMjDchzdVlb
Jrtox3aPpDnQHru6frDRwT+jcyMRSQFljxwMruuJPLJ9QE3irv0sTUHJQPSXozucWdGh3tM9Ox8P
wH3fRSOwGF/vLJYnC6LlNpvD6TvKJwwTvevuIieUGQ7HqmNd03wBLwEL0gU3t4rUEq6DUuCI4Dtb
lxRAlzjrPniwqN3QZv2hmOuBbykGwhk3xTAgNMrj9otV8LTZutJtLjIPiE4IxVPooiezDbAeMWvq
tS68ZJ+5kAnp0Q4EC+B/5AG7LaAGwSgz+gPwLfNoTqzgAz+NjmqQIwBTHH2qRUXAE9vbNRW66M4V
/nks3JjhXPYYLNQvtwnd/VD5WHIBoXzv8KgvTnas7XnF2TuIPtug4quPtQ+JDsErQAhztO+1KBfC
rbWAXuR0E1VhfBtDKlunJI+vpzn1N44VixOKwmA3dPUZd3K9xZvffGW0CPLm/3J3Zk1ta1kU/itU
3k1pHh5yqxpjB0OAC0k63H5xCaxryZpsDZalX9/fkS0uMoEMcnWo9qMxR+dsnWmvvfda0RJJX6iD
PuYq6TB1oXmTtLbvLeCbyVyHXN2eF6MiKO+jSCtGklyRgl9w3MAHP7HSbH5WlIDZlM1crUmlI/cK
ZsJIocS2WOs31ElE4xS++3m1uC2kbHBTeos/N9j1fLrRFVZjeEUNfD3eIKXC0ejPdbItYA0e6zUO
twbfQ4yvXeTDlIjNF4RjcbEL7Hq7Kvy5gTZZXhWXMLjPkxEBLDmFlXhDuW0uqRU8r1qZVNKI0tNa
GnlTe1l/ovrLHtyVGeQWpz4Yei0qOgSmH8RmfYIQRhhqIxMfrDqDPeWTDpXAAoLhmqtMBrf81Tog
qkYKG7i/siC6cyKhP+ZWjZCZVNSrayVRBh4abWn9VYVd4muUSJtzU4ihFUIWbVUNShTSInNjDKm5
Wp+TSFKy9YcxNsB9PKuEvJocsWNa6Jc4FXXmp9znFucA1IVKMMOkhLAu/PNI0Pyg2zMyTbscVxRS
z2DNGsBHjsBbVlmrcWmtZBKfhP5bFLO9BisVA0EMuhl70nz+b62awqq0EDVBywCmOztSKaFqNOak
mtz8kphKecLpRvpFQi7vRbosqPTNlXQJK5hSFaTHcHJJYz3jbDuxKs9aDDOTUtc6IHJXZXJMnZ6V
rQuqCQGtQi8YkKko5PGkKVWPJ5Kq2deyPjDyYZLXK38c6Ct7lFh2TTWBWkAAIHT3MoTu0U9eSIsb
y0tXt2jYk/BmG5U/THCZIRCZbsYoJBtndSPrtwo2ayT+qtTE201R/gtt2z6dZqgBRo0wYMjLv6sR
HhxD8fBBhf8EkZtGTRCMCv25wJ8OMyE2iKRxCb2un1HsthlEV1oFuZe4AVGUHxmKNdGEeCE0nKK8
RZqiu1HAyTKG/gmlwyzIJRhY8/yOzbuGXTQzLgjw3lPtA42CqUvQMHPfolo7EAWHNkHvUZkjgn2S
FroyzHNQhaFmeNF1vMoAfY3Ag4VG9y6Xegn3aYlsY1mY+sTwLLQcY9XSb7JG4THT4/CDBpw7snlp
5/BwAd+FsVbNECj0/mNz5/6CWJ95MdU89CN9RGQ/ZhJXs9PpXJ7bl5Gkq0OlMu9yocdVkZtD/hMa
XaFQ61I2ujRJAeFT+GsXxl/qUoPyGEQQPAMKIc4Sxb4MSSN0lcGU+MjKlx32U//cLwcoFaw0NI/W
QVYNgzQyp+MBtNkkTEoQ48xJuCGRO1dvQfXUkW6UEN+jyjsKNCjIQRiLkU6V7EVtrktoXOflbUYh
JSRuJWChTvFmgvC9A/HqZoUCWqKNZR8WqpOlvARvUdb5MBK8P+o0X6FW4RljZS2ZM4UE848E8+sr
a1UvPy1LGZ5c9vMFDFYyNDuxFN7NZQnpRrj67XMyOKbnBGykc/RKVxRy6qsLaTU3btQ6h/iZPLOJ
UiMXM6gFm4CpLUdVbMrc/REp0FGDG0ID4gVszVE8Lg0o/xfhIJ5sJCD3JWTbnxGfVscDKR3ly9Xi
2p9Te7YQkOtCgK9sEutTFiCLxaRAO0Nn6lIlu2PoCeA2EBBu1aC5gQB24U5jrTdgLxVPI3SiVlyg
gIK9BhVGJQaAWEDF6xxZRKPBj5cCSl43qHIpAObGqf2/8f93AxHZR4hyQg95U7hpdetmBbQEbfKP
+GsDZX6G++hXfvR6Q0c/VOFjGipQUgdQaPrUdPi1JkKHLhcz9/071Tq28YPh+ydgLz6gR2FCvvb2
zwOKdBArEOLAZDLxpCfGeWn4r49sa8fXf9Pp+kNSxLmwP5yB8dNaJQWhgx8a/F4LTwZvQ8xJEr2A
gJsPY3w6eNumkkkMnUyB5rN94P/eBs4sIp/ez/LUf8if2kCWJVGx0WsKKMhRiFIqMKPdp2sFSznW
LFMFO0ULQnx+10x40QqE8snY62UE1TwmZRBQTba3g9xfB7KNciHlFoiAbK30m5bDi0aQtSbbsJcV
NO0YnBp+oXaQQItPFwR4HgAjmovIjby18Ssk/m47tY0KPO7QP7Mb2kJ/RdNQKNi+5Gfjh65XhxsE
wYRmmjBLfsum+MossJ6BzD97JgAVy8wANr7dtsfiejoLLPuYKAoJ5yQ0vc21QJKasX01vz4XqFUl
VkN4UN2djHuHg6kfA8tLIA87K22P4jd0OBC/7W8FFStYBm+bMrPm050LxOmPH2t539haUClB6b0j
QLVNSIQY2nbBS5y2nbVgHFN9rIij4fHceFs7gqoZSu9bIvuiQto6AaXtKPesIMvy8WN+/FubBXDY
9N4LzGOtKbckeNZ8qLd8Ogu2q8AAkW6KCJpb9BubBQbB5553JG4HXIVt6iF2p+Pzc8FURVW+/fMX
xR/YNh99r6Hnh7PG6/Ld7FvO2Us/aL2O53/feRyT2ft3wq3o/FCEdbfP/scp+6NzADde0ZM/tl5S
85zdv+8G+PzRnWe1o2q/PPPd1KEIjRxY4WTuunnlRLhu/wqde6er3E0FC6fUPz15/67Tzyfv/zsN
Z4HTtiNsIksaFci920XON4m7DdtCWaF/w4ETZ10JBhA/Vn3flodO6P+dpHs1R1t/o3fbJMqnzixp
eykMvfXo+7ccx+5D7j8UHWcRAJj7bN/GT93QKZ3UbVsS3bYs9QDGbh3co+TvI1Ljiui+W+pFctgB
ZiGFm6k/687CrRfd1zIf3IT6tG7L3ArYdvu2fIbFfb9tp1mRqiHSiPo2PJk5XmcC7rzI3u2GoR8n
ftb2sOkyx+MB5t8knvnO3i4iav3aR30zC+fRK35t35skZfflwfnCQd/XFhfP9yZDVg6wXi7oWfEQ
VG0XGyOLS0j7xa+b4mNC0fkzM9tAQP3bvnT8uLN7CD6gA/T50kmr0IlnbQ+FORSUUQ/wCi+dLHMe
vCJz87wzp5Ho1A5hEv/B8+dOF94kZnyAFX7pcxbAVtaZ2Qoo1gEWzKWfkWyf+XAad4wu68JN6rtu
ROsJ5HptS837lCEQar/49emNWni+t4eQHGnZ/Vu+cu9TZ+/2BLcNKXW97XHlrp3uubWDvPoa+sot
j86caJl5fvdYp32hOnWI9s/dNHOrtq3mVZK+eKDGL92N/9A5xgCABC5+iJ7/RfFK29Ku3wJV6d00
Opne0dBJ0TTqnmbID4gc3sM84NQJ9tc+xfEHuJJce37X4hqzpX+vr4OQG0nXq1EAYA6wyV6n7nw/
gtQAZH0t/acLbybMFs6em0BWknKAft96ycw9mmTPzjbTEHQJfXv/6buq5S9r5P3QtWr7gOcTUYii
H+A++Bnru1nmdq4UO+ivr21eFPbraZIvueO1b07sKTuMrm93XyF07Nnhb2alb+k6+nb6q8O5g6Jq
d2kSXBCoXe/Gv5dS39MuX/3sIYEQp3Nzg0NEYG29+14lRH3nbUPNPDEob26/eOn68y2k6TFw/xx/
agPy3/q3LrgmfvEQuk76x38BAAD//w==</cx:binary>
              </cx:geoCache>
            </cx:geography>
          </cx:layoutPr>
          <cx:valueColors>
            <cx:minColor>
              <a:srgbClr val="9AD6AD"/>
            </cx:minColor>
            <cx:midColor>
              <a:srgbClr val="36864F"/>
            </cx:midColor>
            <cx:maxColor>
              <a:srgbClr val="235733"/>
            </cx:maxColor>
          </cx:valueColors>
          <cx:valueColorPositions count="3"/>
        </cx:series>
      </cx:plotAreaRegion>
    </cx:plotArea>
    <cx:legend pos="t" align="ctr"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A2965A7B-7B5D-4E15-AE9D-99757990FDDE}">
          <cx:tx>
            <cx:txData>
              <cx:f>_xlchart.v1.12</cx:f>
              <cx:v>Sum of Revenue</cx:v>
            </cx:txData>
          </cx:tx>
          <cx:spPr>
            <a:solidFill>
              <a:srgbClr val="235733"/>
            </a:solidFill>
          </cx:spPr>
          <cx:dataPt idx="1">
            <cx:spPr>
              <a:solidFill>
                <a:srgbClr val="2D7142"/>
              </a:solidFill>
            </cx:spPr>
          </cx:dataPt>
          <cx:dataPt idx="2">
            <cx:spPr>
              <a:solidFill>
                <a:srgbClr val="36864F"/>
              </a:solidFill>
            </cx:spPr>
          </cx:dataPt>
          <cx:dataPt idx="3">
            <cx:spPr>
              <a:solidFill>
                <a:srgbClr val="46B067"/>
              </a:solidFill>
            </cx:spPr>
          </cx:dataPt>
          <cx:dataPt idx="4">
            <cx:spPr>
              <a:solidFill>
                <a:srgbClr val="76C88F"/>
              </a:solidFill>
            </cx:spPr>
          </cx:dataPt>
          <cx:dataPt idx="5">
            <cx:spPr>
              <a:solidFill>
                <a:srgbClr val="9AD6AD"/>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ln>
              <a:solidFill>
                <a:schemeClr val="accent1">
                  <a:shade val="15000"/>
                  <a:alpha val="0"/>
                </a:schemeClr>
              </a:solidFill>
            </a:ln>
          </cx:spPr>
        </cx:plotSurface>
        <cx:series layoutId="regionMap" uniqueId="{CF7A4EA6-D313-4619-A401-2503976E80D5}">
          <cx:tx>
            <cx:txData>
              <cx:f>_xlchart.v5.9</cx:f>
              <cx:v>Sum of Revenue</cx:v>
            </cx:txData>
          </cx:tx>
          <cx:spPr>
            <a:noFill/>
            <a:ln>
              <a:solidFill>
                <a:schemeClr val="tx1">
                  <a:lumMod val="95000"/>
                  <a:lumOff val="5000"/>
                </a:schemeClr>
              </a:solidFill>
            </a:ln>
          </cx:spPr>
          <cx:dataLabels>
            <cx:visibility seriesName="0" categoryName="1" value="0"/>
            <cx:separator>, </cx:separator>
          </cx:dataLabels>
          <cx:dataId val="0"/>
          <cx:layoutPr>
            <cx:regionLabelLayout val="showAll"/>
            <cx:geography cultureLanguage="en-US" cultureRegion="NG" attribution="Powered by Bing">
              <cx:geoCache provider="{E9337A44-BEBE-4D9F-B70C-5C5E7DAFC167}">
                <cx:binary>1Htpb9xIsu1fafjzpTr3ZA6mB3hkVWmzZVuy3W1/IWRLzZ1JJnf++neoktxS2SNfDwYXaKPRBRWX
zIzlRMSJqH9+mf7xpbi9dr9MZVG1//gy/fYi6br6H7/+2n5Jbsvr9qhMvzjb2j+7oy+2/NX++Wf6
5fbXG3c9plX8KyNU/PoluXbd7fTiX//E2+Jb+9J+ue5SW73tb918edv2Rdc+c+27l365vinTapO2
nUu/dPS3F+H/e/HLbdWl3fxurm9/e/Hk+otffj18yzcr/lJgU11/g2e5PmJSKGWoIXf/6ItfClvF
95c9Ss2RopppKqi5+/ew9sV1iefD6yL907oqvX74/nt7utvR9c2Nu21bHOfu8+mzT86wP+IX21fd
KrUYAvztxfsq7W5vfrnqrrvb9sUvaWvD/Q2hXQ/y/uru5L8+lfu//nnwBWRx8M0j1RwK7keXvtHM
xYfnpPCTmjFHXCohJCd7wfuHmlFHSkrua99/0NzeKvaaubgdrm/+A608PHegkfVof0ON/H7639OI
EEeKGyO5uteIeaoR3xxpzoyUhu99iT+svdfI72n7xVZtWj18/b93lUePHuhlPeDfUC/h6+eE8JOe
4h8Z40tJBPs+hhF5JIX2uTpQSGgL665v7HNb+TfQ9fXJA3Ws5/obquN085wMfk4dcBPuG6LZQ8T4
BrjgR/AR7RP5sOreQU5vrpP/QBn3jx1oYj3S31ATu5cPMvkeOvycJph/JAFHVN2HbnMIWOxI+JoL
5n8fsHZwj/Q/iSFfHzzQyXq4v6FOfv8vJlxCHwlKudS+3od1/TSIUEaOJOK+TwT9Xlj//bpNkG52
9j+JIo+ePdDMesS/oWYuPv73vEWwI8MNE5zfhxFEi8epsJZHClekomKvOfWw9kPCNf7y0br84dvv
+e/3o8nF7cOTB1pZj/c31MrpfxHDBDmiiCQI3vdSP8Qwc0SFr7j05V4ruP44DT4tirSyafvw7f9e
K389eaCV9Xh/Q628vnxOBj8XWQSHr/gKcldfpf7YV/Yo5lOCvOth1b2XvHa38X+CXQ/PHehiPdTf
UBfvLh6k8j17/DldcHnkC2YMua8DCXuKW7464oKztYr/mh4/9pB3t1WFuvz29rktfR+4Hj16oJf1
gH9Dvbx/95wQflIvKOAZ11oxuZf7gV4opUdK+4wxdRBJ3nfXyXP7+L4y9k8d6GE90N9AD89vcW+t
e095cufPkl3mSBKkXoLrvUYOIrwxR2SNNNzcxxrxoIU9dh1QUP9+W/9GQU8ZrCcn+T/it/499/WV
JNxcd9fbO3bxEf31/NW744LtPHj0OZJyL7vTm99eMA6VPFLk+pInEfyBkPrmkdvrtvvtBShKcUS4
EBwICB5TEHjTeLu/xMiLXyrruuS3F0jvCNF3/igkpZoiUWhtv14Cgq55HWg0ACnzUTB9JXDf2GJG
vPp6/vu/f6n68o1Nq6797QVlMKN6f996IEkAtavbM8O5UUxLbKj+cn2JtH29/X+STkxD5Wr+Sket
/jCPQp7OnHoukEtBNnNSNs1mqu0Z6raGBpY2w5YscbsdlV8c96xtXsqI9OwPmSz5hdWFS86baeAi
ZHUzyU3vxPyBD2L4o8tLt+nieQmSemZTaAZ/iIO6y7rNpJJqOO7HmV72vLUfqyEaXi/ORFPoe9XY
B/ni9BI0kRt3aSnyE+2yMuxdPvSBrufuWBlsMaiTbMrDOLYi23gzn96IedZql0z+GJ8YQZd+M+UZ
+Zz1RTsHxZznN432mtdpLIcyGMdyeh1Fto2DJo5w9rIu5zzIpjTXp3Z2YtkttJ/q43ZmuMpbWbOz
3o/nN00im/k09iqZbcpynrwzHxu05yJavDKwTVnyt8yv7VsjsvhyyfLhdVOMQZ3potuMSenHYdTa
4TgbnT4pTVE1YSbsEp+kUze9cX6fVxtPuKmrX/Gcve/qutNLvRkjYrvmJKIy7Y/LiMVcH/uyyuOd
dilZyGbKSleRMK/86YLrpaxo2M2Ddypaavs8qOMmUWGG8q6q8m3qF14x/d7WhWj55ZBXeeC4onXg
yzQapou8GYSJtmWROhPUNnblrvZrPw56BHQVh9JLsuh1RGdvN0SWtmMo244zCLMfdPeyJd6QbOKG
KG1PSDvS6Jy5pIg2jWiH1XD0crJMmVx23pSNeZCXaiyGs67r+5pc0LnMOu4C17bDuJRBPrKxpX/E
UcLY8nFKi7lyN93YdGUZyHxZiujtYwb+ieN8sfXs0ji5b358/fNf72yJ/+4o+b++XHsnf/316qHp
8uxdx7d2xej28KYV8L6+6y/yfwWZr52AA9jat2n+DaY9e/EJ4D2B94c4cgd4AmHla5PmG7j7bpD5
+tw95il1ZDTnCjQCMvDHmIcs70hSBiw0XKKz44N9u0dATdFREBrxjfmUAXPv4Y+CP+VMgiSi6PMY
NHt+Bv74U/RbV0T2bxTlTCsUCQwbeIx+Bc1cRcdc3vo06nqzZbWovSIk9ZAuH6Ts6/xaeE62u6qZ
21lsOjbJZAo9G5HPceVE5YWWTbk+M4mc+01uvKo5GU1ZtK8KWdbeHNh8kvVnmXfZZDeeUkXGw1hr
QW/1ZOf+skgmXVz7vqyjL7zkjbqIVdrUPChp2mIropaufJ1Q0o3VJi6ky+vAjrIsX1I9N9hyXJZ0
Pmclr7I/vXaweOaRSr8TI1AEPYoQQhkCosGA5jFr640RWMRjGWlapn2iEv82Gm2VNSddKQpxUoih
BVwtbdylY7ikNXpvBYlSFu2eX54i9Xy6vkYk5OA6fEQois08XX/JuN8qotKbjOY8T8POcsmTwBjm
NdnOTWPsuo1LulgkgSe8pa7ejILPLQupWNTIzzqElzYPrG24oxdG+g2uPb9JRp9u0hfS9xkMU0nh
c0rJgSE1vCoXm1Xsvd8lvKl3XR3XbXrcebzvooADcZYPKHlmQndRMnlRF6IImpsmcHXj8msvoVAi
neT6lW3yNr8uTKbFSToWE75q5tGqi6iZcFea8BavmeNStbvc044Did3A23Aeq9rOmx8c7UD/OJqh
4F0poyDBBQiMp/Lvppzqorfzex4POaC5c40aLpdiSe2Xjvg5q4K5s83yQbPKG/Kg9Cwt3cmkyiKe
t0upaBfvDPf68T38wkEco844rc74sMBmq9Qz03AsxqLGpbZPFU7N6hE66kyZYMG0iwj+godRiKKM
BUTRdTrxulAWfbaMQWJYhr/28onTyebXzwsBgPPYBn2hwLQJzaQP0CEAi6cyoOMi1Kwa791Qaqub
nV1SXVywxJ+GPASuJHH1I4taX/lXYibWJQWXhBFAIFHi0O1IZiOh6km/a3sKC+nmroNBNUsH+Yis
FlZuo9GzUxuogs8QeDFEVX5dCkEgpdFNRfdGq9aPsl3UCX+47JRiw6UDNZJfT6Un8c1UteriXm1x
M1YQ5VT4FdBnacmqjjifVkV4WUrxYebMDJfElhY7kXkOm85Vt6LU89IWhn9zeK3QTGYMCTPa+vrA
57n0Wi8m0/wuSWZVREHX57wOo5FE2YVii3Dztkmcqv3AILXNksC5Jm3OSNHzSQZ1mTTeuYtLT7yK
ykTzsBntFH8haUFOxqgXapPryhY3IisWd1laVWJwYqHF+FoMlEzLxs8qI+uwEVy0/W4cpT9cuCaJ
JhuokpT0JSeOmk1VOUPDbOp6FwV28pslC5DKOjGF8ZQPcIZhceNcBJMnM5HtDKO9uFJFN4s4JBPt
x/64NmNCo62do7g77RJNIE69FOOyANRgivXplM9RHzRtnandYHTMN7L0puXdqCxLP/SiiKMNFx2j
4Qw62M6BirvWbEzKRqTDsohPNOPdprFkXM4jUxFyTEeasF3stX5CtnVuS/F+lkOce++NJdP0Dokn
7155bVd5l0REur+RTin3ftFDXCHTtpYm7VszLUV+HKWIbbvFCr+0gcktZ0mo3dI2/mdaZn51k7Da
DtMGpjI3t6bvxhFJaYEELjvpoqqR/qbPiSzUcVR6ubowVHt5fjyomrVFcpv4Fe8g5Yly34lXC7cD
THqhrq2Tt2h/d4psq0rUtT7tTZQmxctKTnkTb7Mh7sbh5SijOE13kSjHXl5GFePNqcpEEvs72Iri
SISHhRgXFq2fjiaIPaGabpNEbsnm0zFuvSQ9HtNyUjbMzSgAsEOd9vIP6/VKtqcwjtGLwpGXLaJL
XyN9NUE3c39SrwumNT66/Zdemha4RgwXWG6xrWg+L31j2HCWKVfH7IROnqd1OGcy7/XxVGW0LAIp
Bm8eAyK9FMeJuURQuZ6iGZ3/MJOJkfHreazHWr/JIi8bi53Oucfq07yfjT+8VhmXqQkaY2IAl3ad
TPIPOo4ibzkXomghKW9uANmvgNooZc49HjldvKRpk9LiTZaNmR9txwxAEG9tSjn2Dshat4RioiBs
S+JkTpsNqfPM+ZuqI56s/mAxq7BemRXGvO9jv2lCp7SGZJnfp4ggIVXJ+hLsn7siaBozEbYRSYvT
h3VCK652WTKuEuNFl+PDtknnXVWlXiFfDF3s69CMnYUBLBWYq+POuBL31fujJp1cIL4mQwGsEUva
CKsVCR3wDpqu6qG1SJj8nRbTKudKmAyZhNd7DqrwqtxPxG3T+EY1O5emPl4y+nTWTZj6iew9aFD0
Tf+hy6o+rSAvL1nscdIvgk6v/EyvW06h6Xq5UrAsrMBxqfkcedNqYMp5q+bl7OG7wpSraIaB4laE
WL8ZsYcBAxo44/15nOO8+Yx0K8F3EgWvusqliAwPxWhmvL7WCYUs7q0nWlqDV+rMWw8XdfOdMHpY
jQtZq3Mox8hFrn+hls1fcZI67+pe1N7+9gch7+9T2czyV5rVJTZAKy8ZPuepqlN3nFZ8xqEbtmBe
LYgZj1NyxYmKrQnkXlF2GTqYWtvNvYtPK2rmSAY0T4ZZvTZlbyGlgZUFbmE1BsBciJohGkyQkzmG
uuNSMnxZ6Jg0n81egraGBwHX9mdKWNrPTVjbSo30ZO79BI+RvWr35qGivIB8lEjxxFbqYj38pOYE
ooipW5dJRKLw5WwbopP3i5eKvjvDSfkq3r0hLf3cY5c45PoWmroWz4HI47CutkvWre8F6i3jgj9s
wa3QW4+gNM9OFyY1OISYSIanx7S38GmTxTDKuh2h33TQrPlMVVzBfFrpl+vh3RDBXFtUMusL2bB+
iCH28VFUZHWHcpHr/qtexcn4vi/iIk53VezjvUnDacxP8nbWtDvne1tJs9Z0+vhe5CYbHLYzpTzH
SxABLBbP6jRHnB9osyjyHplb5g+buvG6Kg1JG0dYXGYJ5u02XVFH3WkxNg0nAdSU9Kfaxqs794iv
+C6fe5X5uxzJ4jSfcdMWkz3phCVlGRZGFOUQRG3sdafU0B73J13T4gNJoywuyqbH/+dy1OqTJCOV
XtCgkisuhryLUAiMLsPqNInt8EFV0eSV22heVtsfDaA82028YUAYH3xD72+LEiG23E5eFZn2VBqE
qukjUVMGvIkLa/P85L6YyLoicdmuT4rK1l9m0aIde1JnCcRxzO98prF+AYG10ZhHywee+Hbs3jd8
TEZ10u2PPpm4hYh4PS05TpTHYyu3aiEUKNc5sYqPTvVqNUSZ1cRRhkIQfpuPkADt2XreLk0ZPhwM
HPc3KQaMvCAtFqU+GcHyygQuSWdVvuI1dbhDzXT170H2LeyK+JI1wUJl4aJdXzUuYqdx1Cx4xzKN
yLWCCExz6Z00UuRmPo5oLtUnMFm5rcKuKIpZnpe5Wv2pE2OKEizO/Q5QyVU0I+a1M5Am26H6X4XX
p6APyy3r/RyVWFZUMR53c4FTfhyRnkXe2Ri1zqUXhmdrzWZ7hLtXOo+46t6KuSnnaDtFmTcnOzXW
smg3lfWoEoGmka8+iZhTHAfB0ED5iycWnEpV5Ro2Shmt5uaYozC+vSSzDqzkBU9JyoezcZFlpN/m
Sz96Vw7JdCu2S90Y9Ql4C/vyxnqBBDJB1jNEdeUB/JfSrQIsUuSryKxNacf6kzJz0tDPYipUcaFU
U8/RTjDbdt6fY0qzKdoiovFCBm3B88YL/YJq98H4Ysy7dyRushisn5x5Ml2OGrlNc2OGdGjYxzby
W0eOXd4PpQk9trT5h0X0TNigR3SYhqCj1CKn1Fqanvaw8jIzLBzwpaeHQI/gJabN/Un2umzqbIF4
MKE5r8e6g5uiGFb8M3O8ogmy/9V507Zc76juypsoY+t3khIPd8zxvN4Y8V7ijqGvuvX+IqrhyjGy
xehi6WZabzM46uqVplyv3JssckogkZEo9ZOgRR6gPq1w6sWhm2bHdUCZI/6bPtHxaIORVAKKnpfI
sNOxqVYvj71FQPotWAJ8CKRl3WmzENi3IB4UTKA37CtPwTN9ul9IOoOQ1sBUvKt9xVal2aJB6lZ1
L97me8DKi359c4MOMazBKxpv3aNTTohNGZeNjYKkUb131aeyxpm7ERzOcJayeE3jEjFhDT0U67b6
O4fzbI44EkSyX528ZivJtKnGabVJHS0sTwOZtFVZbpOsgDfu9gJhSq+gl6ORjfeCpPWy84TxQvvb
58urg4Le+Bz4AAtmADdFlToo6JNOITnNa3aVWKuwax3HE7xhtIDZBkQzNlEM+epdQ9qse39++ZUv
elTYrssrJZQk+3EvdcAnuX6y3thqdXUPjRngaZW/9OFJzy+FNsnTpQRB9wxrYTIZ/1drWf+ouTH6
eeNHSCUfbITkk7VhU0dCvNZGr9ZtVLIqtU8zaNgKJ6Cye3B8fi9PKQS0VWE/PsUMtAIZCjs/KGmj
gbO5g+tdGY0ZkU+ppGs+3rYYetsuFqnzj+T87YJotIM4UL5h6OuaA84iTxyhRUmiy2aqECjiHBH/
VM85fO/es58/IEW/6pG01xNyoYnUlPmMErD+T6U9FZmIq65Ql/eIMSaLDyOaFZ+l3E2i9YddVkeL
e9uPfEavpK9WPOcO0OC1i0Ag+sGOnlo6doRSyjcIXtpITKf7644f6X82xBv1zJvLYu9UI/I6+PjU
5xFwPfWHFCpIRD/DMw1HcEBq4SXrRrKaN/0SDg0q+50suZUkmAAtcwiob3A7/COiF+mMtnoTjq5b
vabew+zzhzjggTThHIcAO73Ocn1LhUxJ6rHEce9GeW7AwvGiV8MpfLECcOVA63zKJUEK9Py6T2UH
RWJZA8qLgYOCzx5SMHU/W2097t/EqC1aFQykLto/EhGxKg7GLO3T11WEH6V0QZJYVF8/0N2B62J5
uAHIRmagN/YN44aWXOqRKeE3AHc4aihHouT1PqTvsTz1qKXoiDVzf5W3hCxA7SQtIJTnBfHUj1aL
ZuiBScCPRJ9UHjpup1KSzXkVfYnMUkl3bJu6jOatF5UtUoXZd2ui+/yS3x4ev5RYMdInhqDDf2C3
iU6iIpuJuxFqRANhN1O10Hwn3djDfFMfzOAn10PqCIh3wdSSeXBmO6SW1OMPDIEekHEQgIE33/UA
MCzND70oNsgdTN15n5PUaaSJU5eseVs52QQ/fOnHTCwiTEv0RetgMmDJm0CmJOmvyholY1h51FVX
oHLRjdw00jp2WQ5p1X5+XmZr1HoUVjQGVQm4TfTLNdpDGMF76uv9GPmONMv0edo7IwGpBGGRfYY7
Ob6WWCxfMb/qRrt+pHXc/6ywKFUa1C2SdR/kILomT7fhNwwlbqvs56qQHtpDGRojSJyHmXTIg3kk
0VJqY/Sur8tMVuD6XF06Kk98L1vJ8yZBI2dtKs1rul2lSzGcCwRrW/6AY11HCA7kBSFpJBU+g4a/
yQImjmaBqRb+uY2YQuaUdej99m+QE6d1FY7N3GBzni4HXLPIysF7+fkye1djXUenrXFFFoflspD5
HHRrBbK4MkShsdFLUJiXqjTxUqIUNhOYY+ZlMxh/JGnoMod5GiH1+oGb0oMWDI5CwcUYRSh+i4RZ
8oPwA8usmqEa6k9aWrkmXvu6J4p6g3yKLnrN66J5j577nK+/q7Vq1BW4NI0dR1RAbPqxQ4tDFGeg
xAwciWICYwWSA7PIp7wto8TWn2pUaq7Z8jb3xStGEz6f8xZ1XROYaCiWD2UyYWoh6BM3NkkIwB/V
ZdwskXfiSpEtH5zXg7P30SWBmUxiKAtznPdyVY9tuYEJzYMGt1+7LF8+LIVaWzYENRy0kEL6UJCt
zNpW2Tel/HKaoDsuM2QnQbuQuPM3tWx5u1O6X3WXT2tHZdPcLW/8eCXtfHvXpbfoS2LnqYcKrQi7
WpZoLbSqQgPMDI4OV4LbpXvpXB65oChKx8rQi6NyOokF+nYfK7+KxIeBDGu1pf0Y7aChQbHNf2Ab
hxAO6WuiNRIBsfYVMDPzJA/g0VzF1NTFp4WCpY2DiRFdt8FoM1uc8r4ZARQ/h0ZMA4vQMVsb3ojd
hyuigmuTseTjR770qzGOvVjh7554U0ODCjvK+AKsHFnftfErDWCBnT6/jbVT/sTLuUZXB1M9TDLC
0Jo8OPnCh77xjCo/lKIqOx50FuXbrW2SBmiU5G1Fty7SNn0ztP5KINWJtCC3/I4NNgDliSGMoGNx
c16g9r6awNT6c4DxDXQAO98jadjIZbLnMCKSBBlaBWkdiEjR1dkTAju0Q4Ls4jTK8m71/AGZ+muM
GWJsJ+C54+j8PX/iQ1zzOQLUOqbI7n5EhXGDp7rOVZRUY9Pq9yhRCfrj0jk2n7NhWe1WIMkSJwkd
16bqhBwOH3F31zT3VL0OnvA+G1l0Bb5tNWnWpKj+T9Ka8RUiG7TF6K4phrW3u0gQJPMmGsu1XU9n
UHUfnKYN3Oj5Iz3VoQRqIIvnRALWMIfpHzYfwbw0HZu84SJp8xXDljsqrG5l1b+dPb8XmAH/OsPx
Zh8zHw+FfW89SZD4rP+UUgcS1BP4KOaT/uKe+JjipMkCYlFbW4zgpPFPNVclgV9SzAOjNMJPewSY
nKca42MEcxnS7GJPTIAmXfNxnReojKq2WSmD5w+4vvCvVAEdeoMYIVCDYR5FoKd9UACP8zKlbpGY
I6s8l8tQl6Xmn5RDyfSjIuzbpaA6H7EJ03poMxyeDWNZ5dzHKj7ZZ66DRH8MlQRryh/mqQcBEG/H
hIZBxrz+QMqodTLwCcpVpEuibKrNF5JhUOG+sGIqX8lCx8u1oTD6Q1WGpBSO6UC7An2AoFgIbcOO
V5N+n40EZfDz0r4fEXkkcFQQEIHB4M5dVo9Z/Kc7IwSgrtOkPXYLI0m7ZXJaS5kev5Ls7Z/tUiEb
DjF5h66/CcpoQR8j6GTc0fIcPBJGg+LQ5jV6ki+ZQFeMvCkjiTm/kxmslbQXEWb06DSHEUO8+tg2
TQmC3mVMVA0G1vqFdSGxRLXlxncSTeCXfKKWqzdmnwzkCjQ5fx1VJW2mV3mcDAajPP2gUopuXYYR
khNQ4DotN4WX1TCRe+pMe3gswajauJoouGMfaK7uCuw9CZ7fSRMTfgwRAE2LlaAaB+Yhh7bMB4Nd
sR7iBvmnen3B22KlGb0961Yjs4LeSO3TJQ3ytivpElStM1W6UbUusj54aMY1IHSS4J5iu+P2EJZH
yHdp/JVe0s2AnidY71yxbe1bLFnm4LuHMwKoS+OwmMoWgIZJkyIr3nMQsoZfqLkzoj7NFPHWNlU7
OOQC875DYMa55c0myfsSAwHoDWrMvwRZ0vk2Cr3exiMpg4Zjqom9MY2p9biNGyVk807OZljsO0zC
rOEQ7CRh6sJ2LcZb3qU15iDiDewctcgucQ2lWVhS0KF/zmiKtP6ZVNPIPlE5zZ1/gYZuVL+tjMly
ts2q1iPo0QDQpi7EkC0S8W1lZ+h2M05scXNAPPTMhhCkIZV+OIs5Gl/mpu3aJUAuO6bo8xjfIalK
E9IeC1J042dFynxONpEAFVwFpa5K90eFnqDXB/4+Xt9jZINkOlYv/RKMQrarkkKxHvzuHQOIkYyV
wZyrbk0z96ZR3PGUlS5yNBOcQTldB4MjqqRA2NhqbIPlOQvG3BvMO1Q01r+qK+MVuzKVsQySOB6v
5Jxi5HROx+g4FQM/SQlfTks3DSfosdlL7RQLJyOTC512BcE0w+DeRTDqExFL2wbwvuRz5urij5ik
djMZGqFLUvDuGG0YNDtZJc/9mnyyOdyxGmv1Uo1pvdEiSaBd4rldpiexzWzav16yoiNb1vBu68+E
F7BYVX5J6v6KUVGfO+HF5+XQdlvZYjgCVWx8MtjebBIz+m91nTQoCur0Jm2baFMkdRzMoqo2MjLN
mb+wcjdHFVLIqpYCr/bnKhRZpXcjXnnqo1Pw2U22P0bRFN00Ji+O84kWSzCbTO6SjNirWmBqJCjQ
PGwDj9v4/Tgt/nWBkV00mfry3eizdEtYR84EMUkaWM/jLwUayDvXtfhFSqajt2hrpyA7Om5uKIaQ
wLTTml4OLEvSXT1X3pa2ZXfZDgKtMEDBpp2n/oy3DkPEshz9MNImSvw/0oGZ+RTlS/+lZSKjW9vX
HQj4tEzmYMBvx279Tupy40WeOysNapmNoF32FkPVORj80p5jsJY2YeQn9ppkbf1y0oKct4quFhrJ
NQGLh/FsAtH6iuh8OMVchneW5jxhGx/od0PHkVfBsvg0QUOn9j6OdTPeNp43hSyly3XbZpahHKkx
1rgsLSw3KeoiAN3i+k29jPl0pvq4iQNC6/RippjonUH2h8PIC36GX4sW9ZmbGrdjdc/OZVFOAWYQ
Pshx/kL6KLoQFO4ztH23QdObpEE8lYPeyNnyrdBddVEnwn2c6wlsIUFuHLdBn6OAykONSe068Hou
rpHW2oCzojq2KPADRsru7USr/G2bzF0e5l0Xv2+SufnDTXXJgmbqpzCirs6CDPtDuuajGwzHm5Il
FBgQf2NYmxRhtQzZdVbWS4Dxo/IDfqzXgNUb6Fvz/9k7s+XKcXNZPxFPcAAH3HJYk2appJLqBlEj
QYADCBIgwKc/ubrbx93tvbfDtyf2jR1ht7qkJRL4/8wvs4C3nFWsC2DnIbuQbiRflyJzt2KPtAUQ
Qwz+ULaWzAQzvBLT3mZFMHVlH0n6VQcYtuoCyqEoU7HMj9mWyQMO+iyraLfnpzWa+COWfCyGG9ev
8TSqozUuOgpls686Ya8bHJzXfR724jgr4ksxD+1Pjw/kyNfcmAYCpX9ZNU1ZqckMllC2axlya88Z
leo4QyGNyjZf6CsdV/otcSr5JDSbvtnd7j8NHvDa5lN8R7CVHEPcFPXs5vUFymdQpttobwO9yC97
OI3HpI8YZB2ADvfchwR3mcOJFIqugFOZyuyUYw+o1DKKo0yNfoUwlOD7t/ElCsfkILJk+YBjPD/S
ketT5Hv6Mgx6v2kXMTcux5ELg2bo7kcSrhdtyPY4Lkx/0kVBvifS4nCIZ2/viR/w8sBtfYiS1dw4
nW/nbnPJBEexGI8sG0gN4wbkJww5et4DzW4Z4/ppjwv+WsDU+5j3Yv2EC7894WXL7/YoWCGAZN2h
pyy9BXsZJdUKIr8udj8meN71eNjbYHqUgEMeWzepucJaGR70JuYPtRrSwvbZ91tNibmByiHhWw3T
pzbZ6YAze3BNksviFIFGq6zayQMyEAmYER38CFgMAevWp2TvaOUHhxm8zg1gi+JWpgkg+iZEordf
y54qdrsFqn2E/9ffB8SPb/2qv+JrWiAIXfS2DJhghMnFvaMC2m2qou5CJxV/MQEzW9XzLbyDTmBe
u9ja+cjjHokNyqMcoYVJFwcaDiO9DLxQNQhDspcWJGZd0H3IS7Gv1JZDwsb7KcA+dOODOcdnnYXb
qm9naoEgRU5H23kk8/CQOBI85SPtVJU5zaeGU6WfRdvZoQGM6PnN0MmpqwM9ppBTGYuCY26XZX/2
xagNP15Hj7Cms0PPhcSnNm2tvEjItbqvohyTS5UOhtk7+HhiqRITtZ+2fJ98NYV9dgutj0X1FmFE
vFkhzKxvaQdfQuMc0WpNMwxO7QhN4mTXLL+ksQtH8WlPPItt6d0cUnOJcdiF54KAVTnO16hBze2S
mhcatFJgfW97imhCwNpeVgGh7qVLsHKXMSf90+SjYD9usEBEFeZzHN5uVLixijUIk7u8x3FaQ13b
6wme60XEa1chsSMva+DdIh56H2R0T/Dxj6EbajiIg7xKPCpOh4d1JaJYa5+JrI+BfiwT3ocC4F1l
Ih8PDYlMz28lBzdYDiMAhGpf3TyWyeD3F4g7Qp7GjqRT027pdic7qAc14i7ulLQIOdfIIPEc+rLQ
0Vm2WgGUM2nuy3hz/lO2xut9kFKXV4NgZClzIhOYxHCT3yIV6B+WYjRJNKI+x2liUdK0lscmrjDC
8WCqQI1Cx9rKnGfPPiBTjsHMFL7rK5ykK/6BKQw6133HITQXWcNVr8q0nSNHGznkUc4bFbspTe+i
wGbmFZjhwE5iLsjX1tov+87b15arLy1VqSixJgwv25aLhhVMH0NcHiEOiUwDzMr3mx6BnnuddOZg
uaaVmtWuyhwaryqHIR1e9NhntdaZL03REZyvdh2+ry3bD/nUAzBrHbsD+1aEVeSWba53XDbkkS48
ecmhPui6s3Ah8TzggSkhpm0/oknJJzWPS9Esed7eLtM4vZh5WdvGuNayM3iGNi+DwdHzMIm5jse5
P8iZpS+jDKOGrny6kSwN7mLpyE2sgNNN7QKskmItquOY2a+jyc1xd3Hcl2GOS7gOqZ2XRkXZdA/x
cVvPSm+spMsWumqWrahItlhV0mhgEKChpprzkuGHazzwi5edoX6DgcicjwLkV63xUm7l7qW+xy2P
y7/LZF93AvMFvgX2jFunO5icZpUZFX8TXRt9gSfsDsDJ6XEK6XDIVS4eAxHqyg4Zfw/H4bUXkJFa
LG6HPGbiY9ridSrTZJo+kpDpi4kT5kqmnSiqDhLuhakYP3Qbgr3onK2whCcPAmvJxW5R913yJP8i
WRu9yyjZbi2YwjpV83ROADO8AQuJ5fVMc6pMRDjfZYwlmFtxOF4fQvKdyOuS7sfhemu7ePk22SLo
mj7rgOgBc5iy85iO3VQtGkktUFD7BBs730RUJT3OkTILOpHe9WqJv3HOV1nGPb6HUvQ5LxDLGuYK
xiyeCe5Veh4yE+c1Vnjba8xasr0Malo/K2xtvJIqScIvuHg3XdKg2OwpWGVWr0oEp25O49cr0XqI
ditN2flAPaSpE9+MLRSuB2yeh8kwcPoTS5NbQGX6RnngzqVuMdLcusWobzJeXVctMMBt2dnefV9X
j3cFLyX2NKPgr/+w4KlsCVbMNqOwyQUafguYv3OIql0155+IPVp2GHK+3hCP/a0MMI6sdc/mIG2C
eYBhEO42fVuXvv/IlXWVhM5c92Ewh/dmy6MXcF8FBa+OGa7M1o33xw1D1QWn37g1buZcYJSjGD3B
FwfTfcK3KKgMu8p4fghT1WhlYU+ClcZDVBE+cEGkPbQ2A+QzyEpIDGm6ua6xtmJ+7mLM1MnI9vdx
MaN8iKdoW2psFUziSKPZtKtKR6bt/TEIYzGSh8wkrChlNHfJ1x6aczBWNiicYAegXNKFd5JP2UQr
bNuOqNLsfFhMlePCTX3NQVYVfWlgBRFfj9azQd74gkHSqRaDBUw99haqVVI6eETUHLRRc/fetpJM
bb3hVQHgg5RQMurSunnK1kOLWW08G26C4dcyL86mDQeZP4wNQomRfGFhDCroqIDwr2OtPQlC8SiM
kvg9kAAgvxGlMaBTbOk0fvyfQ0DzEJ/jIkZfU8Vd+p7qNOYvv2MEgbqiMGtPr6Z9HDGnbtC6cIVK
QbJeORq8h3v+oyUsdNkRpsyO922OFtp9GLXxgJdjAQEuwGbLxJbhisBxvL4ZDkGhuF0xULr7UNDQ
k8q0i5nlcQd3hd8WrjwxiW9JYUY71Gm/Gj/eJAY/3l6ilC+Olwo4djKwl2RNVZc1GVTuLrmExsx+
AiHfrZhxsDu080GpQuA8DtapluDj72LEDDC6K4oT09MOQ1RBjt2aD94r8AEWHn9XAfY3/UaadnSk
6xu1gQWn0A7GqbjdMfoVDQv6jEEvt4wqU0ZkpqTJ/Z6QI4i04U0Vpn8NwH2vZTwhFFcSg3enAQc9
/AhHiSkL1hnXspmyhfLaahDUrtzjGVjcnhn/m0V3oV1rHyEa2xMIhe52CllSyTgzdyLyfmhUMiBG
YCkQRRX0L4K6LT/PGOHyMhmVJ6UbNzke9RoiX+MKtY1w9q38ofaQSRytZGBlhnvU1Guy++elCzaH
ASHoG0yg2BCZUGl61BlZh5oNhfsW7Mx5VUbtNkfPhexkWqODcvyuQ6CV5SIsVoNxDyy2ES0i3mCc
0MvJ8FTaH23grooLJup4rHbJ2wPyY5YFh8HA63s18UzHioVkmhriw+UULVP+0dueQLDMkXidKgiK
XYoNNffL/VBkoanjMDXrO6BcAL2lVsh/VKCNZ4sBKYpBvEPcum+xeQ8lmTGH3zmgYK7cEpk3ucz6
S9AuE3wwk8KZReoDIeC5ir1Z6mJMKWCpYOVHmJ74xeSuDcoEqY/TrPpZVAaC2bcdKC2eDUafTBBO
+Dl3dUCM1j16/LJrRGgL2ghQvz8DYPUQD4VqbwMcw8sXLJcbf8rFoK9TVxJ3J0ww2UWTPO2+4YhM
/DGxRDxPW8LuEOBpf7Q6widfbLtDkIIZKCP73rlSdeH2WrjUPG665/gREK+DzZQPE07TfIDTKVP6
HEE+zGsqpu0cQbTo6g3U9uctIcg3pnIhp5EIgeCMTl9m1k6HNR7D90wvUUlzJGS47nfYe8vuS8AT
/h5Zz7irY7NYECH9CHeNdpbac5tp5CaWcUdQqWWbw7dL+yu0i224UmPu4wPYJRCAYYLAY93axOLo
DWCWduWqcgRfknaZMRSMfrlLjDK3bRzZog7TVuUHILrq0+byFXm4dcRPCU41/0I0RzB5wAD+MAfX
iXcpEHIuMVP7rswko3DW5dzxGhe6QCYAcsnjPkABKPdMqayRFtGPOgmHrtlnh69pUwQ9ADQPqraJ
+rUtfGxitrhqW1P/keO0sDduRYy+7mdbPC+pXg3+uDSdsRB0UIGGeLpLehbfFLyXOQB25odSR4ze
BAGPv/m+kxcXqOURKRJRIZ0Qf4Wlbkb4Hzn1VZcuQlf5Rjpfm82Lpex1sbLGcMS2cf7qpL8RUezT
w5pt6VvAuHL3UK5kAjFgGhB2V0P00VGwuOUARPh+AvscNvmWeiwFNIYlOrMwHZohEvyTTJ3eKtyb
mOown9c80XNx/dyyhy3ZIEMn8cTui35I3mfwv21pTf+RLMP0rtdpKlEJBu0RWZ+qoK3FI9/rjzbY
whazlQuqAJPHnTZgAxboLl/G1gRnLfBS17qT+cNq1umypjOMYp3LW+gC+SlgYfEGxbjL8Ri02TcV
70njSLg8W+3js1ymNa6ELbbrtBYOgLpHSDz5shSnJeFjVu80wOA0dNQdxzS2/TNSvF2tIW7VGo86
qeYkNQ3Gl+hm9BNHamWL3jnz7p2yNSrVYkJwV6lshqJnvxB4C2uSkvW1wLh/jAiLvk3IRr6H+JK0
DBw+OPiF7zDsizsH/PSo7Iq3rjBfEZ1bH5UJPSuLdQojvAf7I20DiYkmIsMR94EesWYsSV3kwKbx
1bfbHOvPAmJHXTgsKjOqHvbS8Wh6C4qevAiekKEiUPXPSo0RLDpkgGSSfPcG6r9upIIepL/hgpKD
reHFAoF4x0Y7DepZk2Ui6cMq+IxTfimKKzWvZ+SyQUo4L4YZXgNQuOkBVQpX2mmLYfTGdTKFgIDO
oeGD2M+IGPr1lXVuS7+nI5nkSUzFsJKKER2uQV3YlGwah5cEZw2vDeSuoFGXhTUiIdGOsbEIfVdp
menQnY13UDHLLHbpgZBxK75k43jFzGYle9fjHEt5mNaY80DQoucha1ug1gT0P4JyGOPB+3tktPHS
IGBJUuAQXE0/wznw+VLDaEWEpFnU5iWHk9q1Ehy7atk13ohncIYN0op2D+cnmxQrVpgucZnWb1Ox
MStqIIIF9j7wBp0T90JMi5nqBV0YWdSEKjHL/M3I3Ua+xL9Fdb7aJoKRrNwVx8lwYshZC4pSC3/9
SUjWhrQ/8tbZfP5sgnaP07JjhcT/h5RmnrmbYF2wMN8Iv7A+q1xIi9we/md77q+cH1xDMMAhrMMr
bgcD9hr4/zMjCamsWEPkV38Ok7oCCPZ3yjlJRw0qYsk5MQgl2NAFiOB2Ahbdv/kG/mo3X78BoKIg
7FBWC5cQptBfv4Eu9QAY2i7/IX//Bobf2eNB0h5PXDDBF/vd//2jMOYPh/v3GpQ/9yn8uV7h/+c2
h7/UKv2lzQEcCOC+/8cC/EufwyPqtRbfQxz4Z0f2b3UOv3/hH4UOOTpRKWoZcqgjFLH3AiTWHyU2
BQohYQ5FV+I4wy/0Gub/Z6cN/qdrcU2cgM9LUgBpcG5/67RBGXGUAkUDCICMP7LP/0mpA4JSeGL+
ZDejJxQNO0kONYwAC4T1/tcnChfTsg8q9Kc0HyVuzOuog41hS+5jJHhpg7Q4hN1h6FBisq3ZTMt4
0fpMiikKD/sMMbfiWEppBUWmT+FRpVlQLrI1tabfcZazhy3LgL35CPdAB5keSAaaepB8X5YGYzip
dyhyUBgTQPxNvnuFiZ+zKIYpzfdjEMXTm168vngx8/uoILiKg31/ZXGQdCWBPNBoGirRcDgCLzii
3HgKZzoXiAqF+Vc0ImRjJWEZiHJC6x1ibopK4NSO1YaPpy7fu5+oImq/b0iw3eHEzt/hrghT04CS
Wz70TJRRvoRoz7lmsbB2tHEDKD99BN7V39iEiodu4uud3ZbgGDGxYwhncN6m1boGJyG8i7wVFhUv
sq2cQ0NPoDMMJcNAXQl1OixtnyavhcbHHAUgOUoT8/AyZq1pcK6RE8hVBP1gDZekIxFiOXR4RKw1
w/yyD0/h3k/YUQv9wBkkHSwocrykeawqUeyskhvPDzGNQxi9xXA35lGL1GOebYiBS7WLakzDz6g9
Wm/NRN4XcAQv0bKMxbHQDFo+WMQWyh7ySUdsdMmb62V8ECYpjoNqBWaenbE73GJd7ZNQVgOU2bs0
tctznk2FaLKMpZcE8wzmgGxsyBA95/bxWtuDi4DMR9KGj8SYqyw0xcl9FCzmA2N6+6qHxD3Y5YoC
DFmD6DXqCwYZQAJdhyPoi/6CSYndUiXGpzRcyZ0k8eduu4bVp1BC5jUeNSQte/EmnZssSIfTFgLm
mKK1klKIZwZZ88EES14zRzZM3tNRojyjGci2VdyEU832aehKaidopXA4DiYb5C+6bd8xiQaHCT41
xre1j57xkMNKcG4+L0Dmyr2nSRMV6VZLcMJ1NqZPE542yO/0BgsoWOBizuqAL+877GmkyvLgwOMs
KlNQUSeMy8hUGGhFkYEP0VsevIPOac+q5/Nz2it151FCccmLZa4hLvpGRxDzeozx94md8dzgsUUz
QQYtWcHiLc2I6e0Km8kKakTaIHbhnj1m8dK2HZSSY0YG30avBetdd1hotCVQjyN0OMAV2XjLi+ct
Q3BLVR6WPyzqWKZw09EykpIynSWP3mBat6IJU9HdYCrJn9aCM/7ZkX1YEcMSfXIY6RTA3ss6jz/f
Is1W+PgzTdSE9IyAJ1hpmP4aIvwUpO+Oop7lvE0xV7jadywdToQ7wR4+Bdq+2K4j2wvGDQN/s20D
kdzLJLTiA3KV3scaut6IAiyeXhEMBUegtguSlDUes7b9QFNM21eCRx1+P8E04PHcJo84JybtlpdR
5/DjQ3TJ27oXY1E0gI9W2Z4AUZAPM43b+j2XNJLZBz4jamzZX2dwyEVJ6sqRyTXBf8EuPcNJB9Nc
8hCdJp9GaZCGCGe0OVbxqmOGFytyzW/Xz//e1P9lleY/W+MQfLhWyPz3N/U/C1//5Yv+uKULlDej
OCPBww9aAxcv/n1/3NI0QrcgOuSSgiIbhF4mXOD/vKVTsOsolwO+ci12xrj4j1saPU4IExRgWrMY
CF0W/ye3NCbrv9/SaHBK6DWkAwUDCZ3rYPqncE6XdajfiBZ+cXOUd+WmphTmuM9uFFrZFphvEamv
as2LkvPclyvQBlaFtkhd3S4onDlpOBWsKqY+u+x7TljT22lHRjUM3RN0voEcI5H74Eki1/95RqQw
hXuYwOjwGKaB28SLve03HF1lD1InLs2AV7JkMIaQyEZPGThXvZ/3aF9JOQrMDTuIRN1YpDt5hVeM
XZaFKQv9I5i/UeHz7wXklnrF2ttghQBjAdtqRS0PMKi0hkBG4lsar7xecAHcbciulYM1z0sfB4d8
iRJAL70NYVFkUfeihPBPjofrPdoIhudBBG5sUBkVcFyCV78dl1yLrVyo5z5V9njV35oItuep3TJ6
iZXubiJeHF0X66DkUzcd0jHFq7pwXMfrFsuodimbD2TN4889BWvUge59iWKXNZSTL631sBEmj5aT
PUkeTSz02U6YbXgUP/IMq3M6Zsi1+y4rHaTGxyQPkLMdt2eEtOHJ9j0y18rl/HvGYnUk+ZRUGvPY
TTQMMIoyN2N7R+wIqHvX3i1Agu43PoIcWs1ubsOtmeMJaJ/Swy+BwPvBSuIPS9oVVavz5Rmz5vcU
dX11xCJWZQEHerfgP3i6f6YkAEaVD2Ol+hRWEMITOcSPF6GX5Dlx1N0kQNIeuwVrnpJgoOKEf02n
bKv31t30V6Ue3ILADspIiZaZ4MlObnjptRyqUfbLfZxIXq34RCpG5RPoMXihTpqqQ7nzq3Q7KwnO
53uPOG2tXBo3UYrvNADyXoeWtZ/2IkczYA9GzVRinCj+tUJobJAqukk4bjwfmh89/vmHFvUuT7kd
e157x+hzju3sqYjhwyD2LBhK/Pb9ngTJiqCJDY4S0f3jHpjxGeRMDBPTrLexJOTGwyFWOiGHCI/9
3eSS/cNqCItNsK78QnB51IrIfi4TaIz1LOV2NIK1h2A2NxmGRNDc2Z21oHGhkY0wPTEKVYVwwSkZ
ERZFU4GytYNGUxqGJqZsX98CwGocNn7R+fDAQBZYDIfLPL77zYhHiEoPwdq/RV6jqqYnz9Ec9s1Y
qO+LyvPzIKY3hKPHsocyOoBUPcguXn01dCCK0BVVjdfflP8B5x59aNGqyt2En4mhmN88ZSe12eBu
KyhtmFHtdVj4wGG4PMRqcIdggSbZyzY9eyjjbyQLtsoJyAMD0yGm9hivVXDJGU9LFJp92JzNjckH
fUQSLT6L5YKMzO06QNOZV1BmI1AVtmBwzyjmYDLUA5oXm21T3UGCjYSSJpbngiX9kyrS9mwR+i39
LpMz4pvuaXD9fhxXGddKKX3cpcvuiLYXxKK3M/waJkEvLNvTRuCSoF7xFADdv99IxEe8YCiR2cKX
UQSkp/Uc6Vg8gmtMhlukee8HXXybZhRFZdlOP4kEZgaJUezIi449oqGme0AO+Su6c8gZghsqArro
a6ZsCsoNws2XReNHDgeuajCC8U3bj8MhBHhQqxDzhkUNXNMDDXv0OHZL7nDe4e9oQL42H/2X3cBG
sQznszV4Bjvv/BfqXQdZtgvnl1m7lzHMAN/DuH+YBk5oaWlv1GObsuicwClajgrrHcal1IbQ48V0
hmeF+RRFp309gYV8XkX+C+PWVrWxiw4bL3pTpgV6a8ogW4tSwUQHjko6LEbgh00KZBa+UACblO+H
Il5BFfLZ4RUfFVrWzBtHSCYiJ2/H3xxHbnC3BPN3GQh0KnEiDEYqvsXZg9SAaEuBwqeTNIXYbx3R
2ZOD7vmSaIZXRG549M56ten7goaQC98Hv5TrnqTfVjz9XRWhQoRjNWI5KTfgvM9zHwAZZFGoL1Mc
FpfZwwVZqRiBJs3rGYZl+4D6iv4FOTGI5YjM5kcuGR5cum/8QxVkaSxMjRNmQY46QQQLMZRrKPit
Xwlag3TUgdFQeVbum2Fnqwq8H4m18BPdHjwpHO2/4EHB00cX3Ha3gsB59ODUwzrPvNOojxgBXonU
YBgkbjef4TvNX2cddh+4k9ux3AZztyT78MBsSn8humlgEvQseUaszX4OZL/fD2F+zqOs/4lG1OxH
ioqtruw4bCxsoLZvWkq6cwodb8BpWy0FBO3aQ+gewCLiUyyF4MWbsT697bOl/wFyQLDLYOD8lWih
2Z7YTLI33CO0AevSHoz3MUCGPFdYVCT6Qc6w6d132XWU4DBq2RuVo310YBDxVHoePHYiW1QZJ4P+
EJ7J+6RXLdRt1KflVUyH/UzhR/4g6yyf4Zu99Eu/IVS1j+wsIwk6R3K8rDDt54d9TmZWLduCtEy8
dGxoPOJhd1h4tg9wkNtP0Jvzl4IQexgDAXwoaGlLSzf74KIjYR9HIKC6BD0afCehXx68HrE/JUEB
6yz3Sp9yFDx8oa0bgTLvzJxVtCZbLToxexg0g/g8g1UhCGol67MgV3MocMl8n62qP+Od6wTKe0Pl
wUG7+drDQ0Gm6fCD0ZWRZuyQlK/RlJQeTU+6Z/iZ4REGVA7qz4zw4AsijjieRYG1yg4VamnzWyxg
8yVCuwA0Y4LqYAvPrEewt7xSThWMPtLMIRyRTMTAgPlISRkt6ikyy1ovaUpv+8CaoczZhEbgXKjz
khOI4fgL8PSH1GLNy641S1QhlDa9S4RNx2Yl1APQRC7nZ4YB6o6Fm6qxkHwjLaevOR+Hr8BipkPC
r/4Cjng2QA+WU1BtVOJEBEgenjtEx+7oTvIvNtX9SaGeuK3iNt3Ra5j45Fu+odN4BcL0BuwGrlSB
PZ6Us7ZLOU4xyi/QybHAejMA+0TCPUxQNlvw2zz6CgcshsuVgkQibH1K6QpDUyB+9mF2DJBNG24G
z1K4gCeHjvGDzvEMSmnIWpQIT4K9d3QdXz1K/5ZDMnJ3Yxbjj1bANap3DdILwRXsZa18DHfTvc9j
ft96W098sBVglWYrDOxPkPxPZKVgLHLw9S26proaid74IesxGxYoIjjOGQaLMtWWfKP5jjQ3mVT7
NhIYq1fUhQRlFCSRr6KlC4+0b9v7ZY33Zot3do7h3hwR31/rXSX9wYShuY0C3mRGDz+5iKEfo3Ep
/5mJTqNTYhn5tQtOv7Zpzr5lZGIHO4XoYcNvc18q2BXmjsdOnluMWUvJWAoQq9OtIKgjJOKHAsg0
lvr6HyrgPY6WZLub2Mw/98z1nzp46MewSxGYjJi51QoIJB7wrLiRGoUqbYgZcdhaYOWQ6w6jns2p
6CgcxjFu5TvqGCJdcrZZDiMrhcemVJw1M9v3GxlE6rJlJLrFT9gjitJ139nerUDy1/U0qBmgCfb8
89yjoi+W+2flIY1VURzpr20y54/AVIKfEXq2fg8d/++W/G+2ZHTRFtga//st+e6r9v3X8cdfRPDf
v+gfWjbq1KE1IeYWkhBR+z8VsucUCzRSaagpCbEiX6OVfyzJCfTqGAGdAv1RKYpBQ4jq/1iS8/9T
oLED2niaI0GHGoP/aEn+24qMv+fyKphfWwBQZ5v93ZtBflHogcv9lLdRupfMkvG2da1/Ha4CWQtb
+t/kRf8eV8MfmP/2l50hE56ggvRvXgywHlTs7Zk/OSc0Eg/WVhlCH8c//RL+i4DhX6PnKT5VND5D
moD9hrclvhbf/3nzX9MlRACWOyhQM7oVYzc/yQmKWYcBpUFlR4+LQW81mUXwvKAd6fV//uOhf/zL
5xpl4bXVAmk5fDd/rxQ2xhed9fl6gnbQA0lEU8kBqnt4Qjy1uMXJrS9OOL0AR86RyFEsYQtYki4A
IRcm6csEtb8FTVf4u2XjSFy0EdTxAtGIAyry8M+Ca0a1WdIHO7Aq8LdjmbLFo/Gr8P7XvHr5nIhC
ghQt9hP6RsCi5dl8GbJ0fmfdjAouO0BcVG2EhQqIO/A25F13mAAu+gQ0RN3rTUafYjjNj2tiGE6l
RX0t4GiAI5us/8UX/ETYGu1bb0Z/XIAc3wKsRtsA64oIrmQ83nL0x39BbZj6gH6OL9xcR2//L3tn
kh03kmXRrdQGkAd9M3V4T6eTdHYiJziUKKEHDK0ZsPq6oDKzFIzI0Kka10ADRYh0OGAw+81793eN
Ilulxn0JRq+ESNgJvT5wq7ANxgvgBt8JzZediUoVB5HXmfQ3UvNhqifU6hAhbpxmrk41aCSamDHi
U+Gl7V2NrI1IypPkqb3no29JZlCeKt1HeinXVkSQnCP3uevKPjrOg6d2bmMUB/IrLsfqx6dML8en
Jpvde56OucGIi7/LdIpwoJLwbaol74NnsIZkNT0mfVS/DDpUarrGlb53ZcA7JNvoaPVVcHINLd03
2EN+yEFMj3rLj0Db6J4p8PunSMX2oYl74wF6XfecAd4+gQ0KTmVJVxvFTGNnK8xnZPDuMANsKgqx
6URUhNgk6KM0JuGhmwTUiWP4+mbdfrMj/hrnICzCODORS6J7Inqwh+YbQr/p0Ye3uHPToThgHBLn
yRNyrYaMpL9D6ldt8C4WB0F/nhzCyXFgaYouUpRfYgkWxCWWPFNNcmDpxeN3iIkL4qLPt2Wh62wa
Rv2aqmZ8ioJ6vkYJxa8iTNlBMfFXhuIbB5gJzhG8WuoojXOD9WUMbSKXjWtnsEyDpAzHPGcpjkk1
fjfyFJ1+ato3MTbSDZBGlGxIy9alRtFtXUCO+SHzWLx5ReCESkZZtu6VxtjgOokQButR8w3iyHxd
yWR6NGWZ7pDQ5euibfKtllf9O55L4yG1KWcncTFvSZOKsIt5jkxu4FYvS7So1Pgd8Um+nQkFka/M
PAnbraedbbD+GQ0hXorYi45Fl79IejBHsAvlTez/wBOuI3HVkBwD7ivNQ9I5r7qJVchEQ/UUm6zN
lanl6c7Ua38NIvUVAO74nSRAnEXmsCiVSXiX8KBc1GBb0g5xI0rLvgl66dwMU2Q8VGknXgbHrV+1
3ma1ejlOMjOqX63Sma4yuIb3yp98WoSZjx6gkvUbNNOuClMIbaugpZ338eX8hJegqzvtgsauIi6G
X0ZZY+qeRafll6nuDZ+mB/fH6I3oCIKpDF2pp/u+Nj2YuThjdw5m528C8iWPqcwH8LKJ33wx0jw4
ZfqEx5qmcXPuXTP2zWf/ZyNg/OgKpJhvXlKjKmkWjNZcAebuZ63aYECWwzWqejphMrYG+2Ll07Rq
bDU9Gv4EYcKlD7miK9OuG/w0W9Yh/KQeVDMaZNWzNQ3VeagDk5gvC462lt/2eqfd4di4aM6AtVOU
Wz/xnLu5ddg7PWWdWye+j5zoXKKEW+seL1FszsmhNPPHzrGNzVBEw2awp6+pX6LlGYf3PDHLg1bF
KGHs5AC2MV5VxiBOdTnKDWUFFXYwl9+RnTWbOO1QcDXRtpCtcYTVGKypTHkARx0iZhGnZyA307UW
iHFCdBgd4VketVw067Ro0OOIIGoOtqkv7UWFnkinQouvBYhCWRQ/YjFTkEBS4e3IT6cwsKvLVHnp
xkRte5UlsbjGZyG3bsIL22SlcZVOkdoMtGMPM9jOEMmbftDBq+/hj0+h6Gnr1RJFhrBIj8fKyHaJ
7okQb7F+JeH97ofYuEcMG2xd2+tORgWLcGNy7ymvSemGThOgmy1nniHO5X7cmyL1ECoiyKqj9jR0
JiU2Ux8OsQwMpO2Bi4sRaNZ6irpvVg23OnZizjwOcB/bBMccIXuPDddtLgvHYGX0eYfuekjUKqGC
sgp89eo7I34ZK1dXFS4HrKZ5/oIUrvZwBrnTDsEgowQ8V/hrIP1ApEfbIkK0mjuiM39rD3QRDoL9
leSSTYTqW45uciV4r67tohNXco7mDeUT82Aq0a2tJOGt6jbIpxtSNVbg1BvOUbitepyllYVtRprk
d9VeFmtr1Oqj0brzG34u52BO5fyA9KmOSXmCvZodnBhDNN3io6T7Rqv1mJfCDl2zKFnuOU0zbEkb
EKH2ndfZTBuIJmOA3CrLFR7ubaNhd9ICTKkSCCOiOCv74rkx2aQ+ya0dTeNqQFK9bZICzmNc3hWG
xlmOkvOQIkGyVvY4rmOqBE+FHxu7gq75xrXq5OCPoCYDGdnXNR5FnOJSu5QIe89gW6cjdKoRoZFD
QX/TuKRjqJ/PSTR7p0D1NO7oDKP9w3furEs7ya8F7d6DSPBlhmnitlfFHFkvmAPRDXsOBpqVKYvu
Kpni3A8zI9O/i3Kp5tte5aq1nunjYQZ7GYpSa3d405wXWQxpup7zNMNOG3ffSgtD+bXR2eMcr4zK
iJ2XYNShssMiSVe4C7uMQkWVb73EGb/WmYFVCLAscYFo7pSi9OcC+ak3/limV5oqCjTLk5d5LL8y
OQB5ak9Bg6gNrmSHsoEqaLqnRhJ1YZbWzs2E330/J5X4alIA65D4TvnybKgwLiFSllmcQ4Ux7zOn
q2jWRA6bs+jfKZhKEcbSrPOtnnccOIJd+EdVFMByJi26iNxb3oGcMMGLdBGtY2cgIErSMmwS4dzM
aapdtFoIvm5qJdsBobS/jnUfaClBXrK2XSW+okWexSbB6HQ2Zk5nsLnN8WfwhVXBeEBb0r0Dzsz8
tUnplji5jKDjQwwyN4Sh7j3gc8KyJWBEoDra+TrD2ncAElOdCuSOezSTcg2/lM24zeIMMaiJ4Zq+
Moc7XFPtUsXB8JSaVBshLudrOkbiHM8fVxE0XywNS8sqapplU6am+aPPiEnSwCM8CZrGuGUbrN4t
4dbjWosxJXWEiUc3ZiNalS2XM3Vi2iX4f5+SVOfZGY3mV6FettOOcRbTFT1vvv8wyjUmomlXE2y9
iC6mGjgt4S+GDNS2qjiYuJZWi03tAX7R9MOfRLqj7VJjTIF1TiO8m1YTg6nMFTCh4pAjNbn7+yTC
WFKhX0VGMERcjw6mBW4MnmPwibYx1BYKyqzp9zZgi4SOx+DceNjiNjGOwyN4ATDGAd+mj3V168U1
+JjOsfZzX7/GEVh9DbnysbPG6QprffNlGGBSjqmpHiVR7m8kdgYJ6Z8uFm2VabmMHmUM5qeLhTaX
e8Aqur2WYmmiBOPeT4LFDYY4udEGnjTbPw+V7pDxkPcd+mrOhmNeqfotE8SqHuyp67+/gx9p3h/v
IFhsc4ES+STLf0o2Y4qpJm6Gbk85uLFC+CHRuvOH5jRLbdy1eD/XbIfzZrIsNvsIOeuXDDvMDjoe
r4Y95pcMwc3RKtx5P0RO/S7Swrvz3VhgkGvmxdO7GLJ6R1v//ZV/Iq0sCSxzqj+ePv1wOuyo3H5N
YFszyGtkGv0+1szmGEGwXlIhrwqbrGnvcP+T2mFnWY+8lK8IvaDiy4oXbeid3yazf3ExwER9ihfL
GCXX+zx6BhK9JYpJtnvVcKZNXopwrCmDaVtPit0preQ6wAj3YzSncY/Jk6aeYb75mXiWVWxtUtyz
G82hNYnXuL7GdWK/jCiJr9PZyq90vbReTTtP1DUTbarxqk0S/wDgKV/rdjpvU8ULjbEr28dB6tzo
RoIHC3PCRRVlcCKAnLeVgnFmJ0Tz1Npwuy47jGkP2mWMW/dec7zpR+nHurMyK5s6IwPgSGlsl7hX
QucaBjawJKqJ2UmWyUuoAcKtRlJADTAu2Yk/YnVVzc1dVTTLnhIsYXtOQB+UTrey9dTFqJCLjaki
ga7G8E/Z0BCDLiIdXKnjUzxr6GQCxyxeW2vI3SNWPm88NZGMuUkpTStNdb3aOHGe6OEgrKig72mh
GcP1ZPZaZ6/5QpX5xMgWgxanJfKD585FfMgJaVBdLf9hQWVHa522hhtGKSy7EUOrb14Fut29ewWG
fE5jYvpWTzLIKFHCN44RGW0Um3CyKhShvKcM+pPoskPSaX1P9s0WS+vnWc9INU3U32HnaHUbloGY
r3FblyFDDMTXKRtyZhj06W6g8bPWc8nbMfckFKjjh6c+LV49usHhrAzx4svCQhw/pVjsl3sX5NJP
UVhw8zl0tEtLu/xgcHDc5daY7qI8YeH7Tl8cesev36Dc1G/2hLuwNwsTXzLTeLZW77e3ZKL+aaLN
uxokSb9bVN0z3O7uWSnDOqAor1/7JberkqAIk7IfMSHMBca0qZADXbu4PLRdRtZSeRYzTlLvrrTa
4Uk3BnNjVmb95mDE3Ok2GZYwyJ7XbTVzAvRMo3umVy/JRQpx7r3UYzex2dmYPuKvkXmTGUU2Ooiw
dmbeEYSRlbGCJuGve31uvtWV4q6Uc7HqyA5hW9rzvko4ExsB/YyQiCNHBcsRusjht87kLVJIs/mC
5Mo/GZIyC7NKglNsiPaYTl51cmNuXMsBuqtoqIa1X41Pvk0e3csp3flLBQiltziXOfUhwElUCBjO
8wMBXjyD/5zFS+6Wt6PyBLr+nnQbN8yNUWHDLmXihobNL620JXBerlrZAUUsP61ZGHWxPANLFgdj
eVXVctbodPvherBVOY0atqotMYxnsIE2w5hSGVmS11TpJPCJsps7vWp5MjWa9PePs1hUcRUttZ7p
Kod9iFWnldR1LAShFFb5doU3Xc2xO12jhPdPH8uQhi2BRFw1+l4N2nRtx1Q8rG5q7j4qPpXF8gGr
VGCGp3LSlGTBBUM7mDpGQAXM1z8NEXKej/KAFmvcBrshs6XgyK1fCnlz6k/bXFAQkknyo4XfcM2E
BGINxdwsTKuKWpiPDQzNhcovEDUUfrAkD8hTCMmG2lO3zTBSnKuAwKzgGRUHNfONdJTRFHFmXsE6
kJTgIvjRlHZ0eJODVm+QGlHOoHAnN0wEY39RpXNj5q5zT8Cj44dzx+65z1oqgrOdN18wB1Ioc3rZ
fENQa246vZ8eIaZSt2FmwQH4z5I32mxrZPTR8aNSo/nEFj7HTQuvJOU3lSbFnmZmi7MMPv6jfvNx
YKuc2m1VJ/ZB07XvIHKXcNnTeHxFSbDUdHq+/bk0U0qXwqY0VNVGdAEcXZ1EjT2akQD+ye+75ktt
UEMzupia2rDEytANk5vRJtOip9KzuWtm914XQf2qYg48WKzBSXrss7VEk4Mup2m/gf/ggeT5YGw6
0qdN5xKe9xnv9LKem3bZhjtGcF7RWqUiGaQeMW/e8uMc6Ew+swj4kqXqTYy0nAIkaK+Gz5Kw56F7
H5qofmOWUnwDNoOyEVNsQje3SQDYiVBq8nVozBWHj/DWD6iQxoy5vJRypIqE02Tteob58HE2GD0l
YIZ7JjceWz51J4qodEPtGy/WsBsGMvAhXRASNVNuPsh2GhH12tTPaiJhm3Q4TNzMeBCgTlbpwIME
E1kcpkKvTrM1VCc4E8WhXJ4BHUXx0qE0E9t2rgnOJTJxE4IPs1gJk0VOfU6vC/NBKys2W/axL3Xn
i5eEsVhH6hdu+FESRK9rH3xTRMe4gtSRKUKQjt1EYDbp8i09SlZIrQiUsHIgfmb/6S2LKmjNvK9w
0sf6FRkaBWqAj09WGpEq9ATOAFHl2qS4vOGwZ/F8bLMKgceOytF01dZ2/ExWjwsR4MSST3SKKlRr
MbaUos0jSp55zxwUShZjN3Iz8fnskpH3CPQip5Y7CnI8i7WmwSlXDLR6NYGRpZBDnOYogT68ectW
aQGz37RM/7uZfRNiHc1Kql5at7GYGkTaRcmEd7KlOl313nTt4VB4oOE2fPeYB7LrufRVRbBpQUAl
CRFFLb52ZUvI0XRzcWDWF0mMSJMb06tex9Hhri202AOcGF6VMecewM8iGxpl84WohE7koCZkz4Ve
B8Qtg5OepaazycJsHZ/gXRDNTiODogYe+AQ29xqHbnT5+OvHizmVGUeMZgztNwdT9EVwqBwq8By3
islKW2zr6a6WNS90SoQbY3lCr8ggqxsUHDMCayedr4U7k5FJb9qqLv8x2HMNJ6Mjgf0oFHudeLVN
MlO612U4YRZneIs5DzsKCXxjeQAhJ/cDCuC5jWkmL50YhA1iA+ODD8th6Byx3tf/b735KcD9TasS
/QJdsP/cqQzfmI8JIeCPvpufP/XPVqXB7GiDphz6XNN0HBK5fwt6DdP+h00JdZkT+IGc/YOgVzfA
JyLlZWiqaSwy4H/1Ks1/0L30bQ+tsU/XjzbZvybJ3v7M0/52lPSnptqCKaWVjdXNs3Q0Qvbi8/pF
z4u6CRzSMKhzJS1Q5BIT6qq2mIMV5p4c71zNmY6ZGpk1rOt5/9LX9viY2x3yky6omudf7t4/r+5X
hqmxqId/SS5/QlODhblp0/DFa/DHq7GrSeQBlYSz2VTGOc5R6awGr4alocaesVSjtIcXbxSEIW3p
9w2pW4sLk6lZno1x1aveg77Xb/gdCZ5yakKPs6P5xm5yneg7MjxD/SZHNz/1Xj+u2MVTFZiMJ9H9
z11Rm7CUZzv1Z0sBt1y7DNd7ZOayb23Z09BGjyiis3XqkfzOaLLS1ZTr1q7EAmtAY6n794SSlxGm
mnDY+tMaEEG5JBFe6+QIkussuc0HoE6wBbo1PLLgCb3sFYP4HLVJ8bJco84Yy9+0ev/8GHD36R4P
wmVtYA7542NAfg07gMEBZwDhwVMdk0uv7HyxQYhqULdStcG9iIziy98//mWt/fr0Pew9kHItgjGa
+qa1XNYva9HR6eFRN6rOlT8bZ+RNwxl2Zgg5P3n6+0/6VAYCXkvtRzdxUPou0xkWKf2vnySQyOAY
S+ozpET7jTmTbbGLaPOaq1wkG72hhxha+uTXYWY5svzdovkkol/YudSzHZO6sssY488fD+M2TeIF
luY1uQNSfnDeclSYxY7yXLfBe1+vJp1Hv5NFI+Hg5bX3nWo+YwuDyT4pF/wGUvYMsFYG3PLRaoVp
rRO61N+FNoq1rkH8Ch0qy+3esahx/TwOcFrG3+u/ek3//KB8b9k2IPGi5vTsRSrwy4PSse9UjhNp
18YQlW8pnnXKwlreV/bKmqB2H2mv519jPwBzODdMhMJPmy7tEO9H781zTTMrJu6vs/F7ipr8fXRE
4h3//hHT4/+8nCzmH1AlhWTCEA7HW8prv1yl2/qp3ia9dZ3ZDI8JyAuJHnfLkMxg2yNwpdrc6Hdj
OTnDCtKPF7ZGtevMVuwKW0BQL5ryghS9VGjhZPwss5KeeoenWTiNeARR5xOZVhF5R5YhiewtDEJR
1lVnKbQOhgF29zg20DEB26ARb45JuQdlVlzMLL6NQdMpPDseTbyoeejpKVlrd6QyYqSTyd5gD/O8
0qWfnYrE8V8iHXBS4vrGCbX7GIRSTzCQ83alB81vyWLl5M9rQ1I2mzP1TXRNfz8wYwloQ9l726hr
hgNTQMyHJjEk4z89DWnpjBj1a8BUVFqrVaO9DiUISyE63PmwDA9GExTv6SiwXQAoye/TIFLeasS2
fWyjdggn7gNGejO4AdWlNtjFm61hKGOkT4e9D7QkEyTDERPlpuysllJVgDeQRGfNLKx+z1FjypBJ
eO7K773iiyr15MpsA3HvAIPZDUGmmVuApPOb79btptMVae+Y+5TCcEe+mQg5f0AfFlRAzB5bZBWb
Y7xVfVbzcki5mWhk+du2jpJ10VvlvuKfMjnIbmtuNPDKVdZlmQaSREJVrh01r+y+iEKr16oSVkq+
iW1mzNxJC0tL2rVUQDJWUk9ZRAbdTlmeOrk/x9YPslmG2ANCW0ba4zlbBtx3UlMLtyNo2crrb/Sm
st5qwQgNg9DPfd6D84UL08w7yMV9BAI2JUvLzKK+15c4NqOCOoQDzyCChaYjw4dK5FOUjMhe6a/k
WEeYExDrYVvQRr5JGh37yz6fPLnYDoqgP7ldb7GiZEQxRYYDZ+EWz0UW3Yy8Om4cNr4AuWEg2Cu3
VZG2wQq/O7STjQIMFmpRYBAoT5Fe2WFN170Mk4CJHVtZeEW56SKiAuwpcTmH/uywY1aYFoawTFqt
oFo9xd0tIJqSQRRx6v/QhtFL9bVemz3cW3/wzw7wvehYWV7vOdg/VUfvizIOuxucuDjxmHnWjTMD
L9uuSrdT4ZbTXu/oKVG+g70ResqZil3LxFMt5LGaz5ooZ2MNiQlZL3907QYyGaakoa+q5wyba3mw
2qAvNjl618s8kEttMyg2xlWCct2rMHWaSb+L2lFU9xzG1hGogJlvB8EVbOq+oI7jG2qm959NQl6X
Pr7Gjcar0iICN4ZjazlOsY4jC9OxV408ztTDbLuqMP/O3+E7BC7osh6sm0X3qDmgKrT3lMRyyoA5
Q07WWFGi9TxEOUAKksuA4bAys0OLiV70fRlUpF3pUYEfRES0qr0k8MTGmJhgekhSQ8abPLATxgHw
7yioYp5h+aBhRM6R0jcGFaa9opph4hywsNw3aVcxq4Ru5ogX5YF6nTmcXRFM9boCKXHtDHgVdjG0
8UXdAL/K2jKp16hegJBVCWL3EhVWJ50Zz1If9w92Zjpvjoqo1PgGi3c7ACe3KBfMKReP/xKZicWU
9BAv8iZF8f9SSPLmFXXo8b5zXPlVtIkFlEzG0cZnOhJlSAwY1tYpamYVU8AyzmDf6NV2vWM8GD1w
L3T4eHLDngmvCil9maX7FnoeFEuPOtFNqnnBU6U3y+LMsqbbeUWXdLdqsns/1BsEL6tEVlxYDe7U
uOIEC57gWrC6S3bJdu0bgaoPfRdE5m3WArS9mD4S6IOyM7QUvcKQuYqSSd06ueYqmvslH13XVF1X
yiz7GSart3z55dKp2y/XJUrjbDsV32JoGGu4dB/zOQzykVdHFHGe3lWUQOAVDkQFMf+PPdXsq+Sm
MWz05CtLJGi7Etmq4brUEpA9qT40yOEWWeNmGhd3En9HZcw3YgOBT7bEyUjBniLTCo6Mz0r9FbNw
c9bFFLtvsloafarNpovVK727or9pZleYNfLsHimL3HWVbpybIG5emJ6B/YM5eal5rH16AleMRwEX
g+iigSvI1C78H9zWEGrm9C0vcudWDR1EpUZHwf0s3XJpHEVQz5j1uewhaYNcijzAp6UBCLrbCrcM
nqkrlNtSihhyk802N7UyuaQAx6/AwWXO2jFbkyGEhWNzHCVm8NRm2hhvCrPiNZm1yAoONiWx5nvJ
hjwdgSLwbgCZZY1kDmyzLbSzccMhI5srox1oqWMx7/EVJhZ1Fq9tsleUysGDNhGmH+egb413iNK4
QUrD8EaAtSa/SpXGwiGWDAo4CB6LDDVYKczUHsf+Wk0eHC+sVyvf6/Z2SRV1P8uFLw4Kspt3osjr
+poGvH3Set2mpNRU5XgVT1Ik1OW7MnkgEuneddDxVBG8tBtXeYI3gTLW6DecAlNzX8DWTL8Y9Wz5
WMuIwKZHRCZawC+DvbtJPBA1Ry0S8msSIwtFF9O5+SGlUXanOi2ad+3QdOkmRYUOjs3sM+tWYfnA
g+SKhZEpRh1bk5EA/56IbrqNxBuJScqv6K7A+CnZO2jYbwxlIRoaC1i4u5l56lyqrWIP2cmkd2Ek
IFI+Qy2iLJi0rDVOuuCJtV52t1VQoQYbTBEwirRMoCKo4YVZ09I3Vnk+eo8OEE25luAAbCjHhT9e
6JUHwABjVvRGpBZPk8RhUqcUe3R98lqRWLcAYQv3sGAj+F5KafF13moUq8tu6S4TjQ39dVFEXD+i
rXjbJX6eQJzXdbxlNu/95DI5gJEoifezffr/ou/fVFKghyzJ/H8upZy/y/96gYT8B9H3zx/6l+jb
+AcCXZOut/3hjPbISv5pjUb07SENtpHT0pVmoB8Jyb+s0UjFmQzgUGXxyLRo//67kmLrSMUDkCbM
IKMugyTgf1NJ+ZQTgUuDTIQl2sKkHfgo0/+YbRgjEhddj+sDDg6G7eZV7NxYrRTnuZD+b1rZS+P/
l0T547Mo/Ojci8A2PqpDv2Y2Y0eG1/hGdfAge53ncTLO2WAFTxN34IR2L9j88ij+IuH7lEktn0c9
xkRezhSHP8+SazFXesLX+bwSxOlK6qhQV5kiSe+VbR2oErjWxlK+8SBdZMV//+GfihHLh9NxcqmZ
8PSW4YJ/vLGNpneqZhrzYW77/r0sStDYBTC502TM6qKiOeBg03/3lf/iFqMQQWuOTxZizudBin1H
u0f6Hs1LVPu3eZH07wxhYZsM0lbdxvr0v/5A12CR8nGsXtTonwehEagqdHFtsE/Q1l15RObrKekD
4GWW9spQdffl72/r51obJgxHR8QBp4/gODD9T0UeXJP6HEeKsRO1avLV4EYETPPcUHzypU3CCvvQ
ABhX2QfmjxqXZnSqJ3IoDywJeU+1cOm9Sz+Z5rBqR2eApy8SRIs4tb9Mpv+bVcBQ4c+L3nOYw8a7
jyCT2s2fbBUlusqs7Ic9mX5s01kxneiqiwudOfA1sg3GxxjyCF9nKhagOhEi7+B0Qb7X7plf47rH
tGOmVTkJ4io8eu6KbgxriUl6jMKafePMDJEyOY466sDNR7RZmuCNwSw7pBWD2dEq0dqUmHMyZ38r
HGWctdbTWmzGen0lgH9fjN5VtxGJcrGaKe85X33Qg9PabWc1EtM2BFYkCerWZZdw18wyzYM9Ajzt
Gdl4wNDXFuToAY94gy/X66jD1Sv0sobxnVW6+HCNNM3UNZ6r0b5T1SRPlZ6QCrkOtYcxsMHufGwE
FAR4T3G4qVtN0p8I8oYhCCpq0DdnpqB7oFsHl1HsxIAjomvcceMtuRWe+4CWZAq0LIN4abTOG3h7
daE2RaBejpF4sZJeXbRGMx6cHrEc+QNBPyqM6lBNgXpxofoNIQaSuuPOQngZ7JZvKnJYMEwk5QMJ
aKInE6YvBQFfOm/FwH1EJMJ9a+kUDgEPjSAieJLN7Ly5xNUX5EbBprEQYW6nOiV0DxSR76obI3X5
uVaTDEVzmFgpYXmaq+69yBbQi+3wZVHQiG7XSQb1gScEIXcMvCgtDwz4bgDDuFhOhg2C7+SZxlHw
5CMWRjyL5lptygmPMEpd13772b+LBS8/Op1TMLVLDIOIBhl9yspQudDQuTBWrQUUWBCn1+oWzwpR
x0gTMwWFi7ochw5p9M+wfmSeZLwKEmQUA60jsZJi+a4S9uLKj+t2/3H/bdU78PF9G0KwB/rTB9gT
NkxtPH/8GxCiVVhOesa+MSd7je96l3j9uJZxEGwJ71jAyfJ6uH0uxZ4pIVF0ZXSjLmjuSSYmNcoP
LhSDjZY5c6DmQGAWvp6de4YwUC/xy9xU97iy9ZZUp1bRuCWpnlaRpfEDFA0M/SCN3hvVKoY+nhw7
EmdtBwohQ7oRaxMqS6yUBTALB69ilVDqOJlzML1QW5TvI2MIaC5n3Zzeykkz5XPH7U9IOaqRWlxS
kVXoeb3SGPYEXZ4h3JozOtzn7gFBT7JR6YQspEI3hVQa0WajDtJq7C2oYOuMsGUIx1HuI0zsV31c
qwe3HOowERFEUVp2JGKk3tDyjC84U5q1SCZGWFGxv9HcpL9IwugYhMnovPY2qTXrq5PoCIJUXY00
5Pewx2LYCbpZIyWr57PfDvE7EbVxdsFeHivUuGehVwFNDHTo6LllyQNXGqzamVkKSA7m/j1I4Tiu
IevH6ZrFjbA+6lW1htrNWC3q2NGTVXVQoA3NfmSGqxYyifKtMhgTkaF5tveNtNiyDQ990wosM0tq
yp3uPTH4C+3HQV045ljLZgSAae9qGB3kjOCAUqaAHdQHT9io4Ul7sV/CchlHdZlVEj3hmjfOwkZb
NHUL3HDM5Zsi6XvKcEhclegMHjKw1M9ZO/NiBZPDvEAdEmPqWdbBFwFM+ABh6ZpjtH5wwZTOKRKp
jq8Rbw0L9NqRmpEePM+dMF7LVtOgtoAt9A84uWdLhobo1NZqjTY/4nWwvs7x6LibtsqP/zNKA2VR
cqDO/OAlSfN/GachAundmy5Cy3U6yoNjDdq4tmRjhLyX/56rUZnVjRpMZDazbTLs848DNuzJhB6g
FTjCfg7YqDzN/soUEv694MRqH50EUfLXwJf44Rtq0fV29uu0WOFdHWw4u7l2Kot04NaVgDFmhqh9
QYRU71O78m+8xNLXGW/VzkOKlJPWR90LFANiEYF262RR3IErN/JYG6Cym7SAjbphjEXcnlu/mw6k
bj6kk4k0mbEE0Dcx4r/rBfoNJ3LY3nJ3ZtEsTcBLR+6/Zq78spQGNAnrOKmNM0NS2Usb12RPzwJ+
z8jEi53bo47qJI8mLIqAfbAcMq7J85nYmAqb/5DkFUtQWTHmrUIwiS0G2fVWtGO7n2haoYdz4q7b
AerDzSQKxu4yiYwqK4cJNjzPV7dATHmXSNOLnQdUYF+3fLAVzfbbPGVs+B9boJcMJLsecz1Y+mh+
klvMX5CDByHtkxwGnaqPQ07aovl7r4DAwL22Wk5+c24c/E6cjx0+arJDJy3I/VBXLBVjxyNimEhR
dj8vy2CMdLFrkoxIItI0ji+P+VVXTdG2+3GiLdYjBH4oISVD9CkoO5hQJyqqj1Npq2vDjVEy6G1Q
v0izEagWnJGrTkvBd5XjzEdWLTKzC72KouO0cHsYwKsiiRvIP9LXR89Dl2S7xyFn4k7I/IDpPtJq
58VNDDbWqdWykxStwkzwlyNVbIoElFdwSt8XtaYfxZBoP/q2CRhkIykuc81EOR8FM1NJloVftJzk
TdCjymgbjqcYoiGCRGaGzFxJutxRsLYM6HJwhCKwhPG0KVu2Khw/PFFk+TymoVzKfgw5OWtGQ9aA
/1xnMIzT0cPdFD5q7ydDAySHOGMitLyH0aoN9+NP0Fv6E/tW5IwQ5qgSDFWBiRY3E+XgPNWAxWU+
0XK8Ywow5VCsSxfEHc4m/aDMRUWZrpHGIBxbIHSYdohBvAVpmH9A6tAq0ncFXMefZq3wWxyLbBbX
PP7mAiknOeQL9E5pQXrUmBxCTRsknr3A8WJKVrCuAOYV/83emWzHjV1Z+1Vq1Rxe6C6aQU0CiEA0
JIOtKHGCRaZI9D0uuqf/P8iZ/iVKFitr7IlX2k4JCDQX556z97flKPgdgPTKFanHUJUUhS70oLXd
RA5LutFGyCDViJHOCuVrJ/B81Qrqi1ZkH+JZ6CiUIYAyhjbB8k5F0q+APyUxxc5ZoX/uN/5f3wxk
hFT08VkV3nDAvyn5fHYnmIE81xQGEo6g29fqWRTABAYggxbqRpR6cAepjcO7yYJFmK5UwrSJCWZA
um6uxMJJl+UNd5vv8soz5MtXBHjOYByuhCIH7GHk5peSqT8oi3g+qysXsVYs+aWtdOOqGsD+eChb
KSCnJshXpqI1wMTWbqn8cDSs1EXxjb8IpShJEL65KTkbpT2aobNX0uVV4HKJr1AXRwwUBGFaYDFV
LDVUBEPtKXyBIYuhfmIFiel/E20mWQ0Z9JxkoysHcnoavFhZzkNaxKw2idXyRC7DarOALkDHd4bp
k3gDZfcHW/F1l/TDVhzjOBsOQWNBowXxftu/kCSH4M2o97X4VvQPkJY37Vr4/n679tPuB+M6TlN6
GWz7TTZuP+6CCaHrZVr19T4vLRZjyST9vgE0gk9o0qqTtaZmHL8th78/7k9bf46LrECQKIvzm53i
j8dlS54bMHPq/ZTm1nOvkKuLXIzG/4igv91WRTnfWlbMWtwMa5X7+6Ovg+R3VxdlBbtiXnBO4n04
6tyldE/IvtmPAIb0DQlQ+r2zrrpwn1jt+6jmP9W6ZVuyVt7YFljcv53Cfzp2H3TsiEriGfv3DTtm
y1X7/LX6vmH3zz/zl/JJ1aE0GNC60BjgYvkOOKyp7j94pOAw0M5xdViG/79fp9Gv02nKocvQTERT
9Nn+Uj6BMnQ1dmOWzSJg85f8nX6d+V6EQfPMsdEG2A6HM933faUVkaWGChM1hwF86u4QYjmz/Nyy
jS7bI851GyZVRlcqTgO761EvXhjMLAhFLVxT2P0GzB680eOaDpEZl6WCqoW0KZImIjXlM5W3SRfI
LO2nMMicRCTJhYjGAVMM0Jk0lCCiFo71oAoEivjqIlnIKb7QBszGC/F3jg0B0IEVpQwW7J+jgWaH
6QEq8ATXbhgO6he9bNdkeKvHEXcHT4cFZOuY0YifJp5k7J6TpN+OBFywZhYONlOPmd5K/JItwdob
dD7AWEkVZQ78n7fmf6UYxKu1qqX+/WtzRYka/5f/nFX98/evzp9/8M93x7X+QdcTci3qK1xW+pqX
/mevW1NNXisWRAREa/9X5S39q9fNW0WfG+8JXyKEhetr9ee7Y4p/uIamAuxUdWdln/wt1aBp/7gw
89LysPG263z1BP14g6769x1omrUMdSZbv1jYgkZLkABE6EMfGy9Qru4S/7y7rQtq683giJQhmAm7
UNFzC1d0ou27oVYuQs59OzdKsYuouT27WmAcRuU+xs5zdJrR9k0czKdKlsodqWu1V5WRcupBYWxq
s7DuyMmaKABhLW2Q4IC8JiQMLTPFsdXhJOTv03Z60yTlhoArI0gbN/Q4b6zNItpnSXxpsdM86q5Z
o0UOb8alOQOp8uHEACUgcGPfdLWxQaRJhim0UhIj/FBiMack/yqFNvoyrTsPKR+eZKOcL8OWUIOx
V31isv+IFYstU94pW0gK5JyoyxLwoqEFiPSABNvyEa1xuu1qiNVLbm7zqT232WxuqYH651bvDdgm
hePVAmyYUbDn0AqNMBbmU35fOu5+7mRya7M/85lJLvsaVx6EECIqxroe9lGfntvZJT64yxbKv0QD
5k28oanWxpYkBsOPEkWgDZLTZqjy7pgl9mWs0alga35LkOS47UM7cAu5r00CMUNmqyTz4kUxqfR8
PVQDJSEyTcTzJ9Hjrh/69UfUGYlqZG35OfnpXisUi9pYvqBe9I1pKo5EXSQnIKezZ+iMyxd7pyR5
vRNLQ1xZBq89oS+8aYS1d0P32M+V6jmZjoxiCRXIkgnpsSro6K6qMVjIadqhuQffiIbroANWv7fT
ejl0uLR82x6bXTdpYqd3yux3k2qiahCkajpsF6QFC8ywzK2rpU/1VJsnLK2HuQyRaQkysiUkm42R
RwGFjb1xsQxhMFa2WdrcV531yZmWi1RHNhQNlrlTAK9taabHgV0Xz4tInzCYmkGKJZ/O1ggIBCXT
sdHdV3NRoGoQsujzTNzn3bSxRh4Jp42Iqk2rnYyyGYgZYAhyYL2BEHHP7HIVW7440DrWnmZz0bys
hXqgZC8LFDjYhk69BSAHNh8ljrcspUMrgmchKUkgtKPa3MeLCVoBlYLHpr/xM639rHQEQWU26Hl2
qLjRCLMMNHJJtpXhmjuLNKNdaKQPrW5Fl3SYi53hvERupx6Z6jaeqC3lnjinovOkFZu+nSfJLQEQ
jldC496k2copSdz2Xi3xMjLMy24Xpno+8aCXXQ8V1EmzkX5UzLCcMHLG+aq9LSfgPL2uqNdU78tW
XbKCbGaAAvhcdR8ZH9h8O7UOmt6GXhI5wA/0CPPaoJ8IEZe+gjz1AdgAVxHRiE9IM4CCyB199JvN
RhUVFCCRqg9zaOKjVvDzFQM+lz6ubc+VC+jZJSvvMsWYr8NaqkeNePNVLmbFiYfDDzBa7cB36Quy
EXPk0AZdsR2nKi9IkzP4F5ULgofzoMos0vuyl2RApQW4Oz8MjR2RDjMovg3N4rJeOrG34zwF3au+
TaRL+xOO92M9LHTvrf5OdZIDcWkWsLN1CN2KW4uBwHZUjTWGFeX1MhJtadIY3hC19YdEUQip8zrU
5DXcIBK70gTFc6K8FuYy73CQn9reJheXfx+RU8BmeN6UBHXvsMVgOmy7mkE9O6zYNkDLmMlzQxQ8
jM/lriMkeG+vLUXyjwh/c2TvsT2Zt3pS6Rj1Gh6pyGovyQLZyUJ/djFRYllLDW8oOnEX6nEE687d
SgREKq9agBPtdUC3tyFeIbwS7ZpanGvaMYQqsUtzfdhmM4oWggRrf3QLZ0/v64yP5smyuos0MtND
J6ZPztih2Eus3stnwzpITG73rjtAksMuyIDq1Yph5w9h0ntjlN/rmjzZZk/kpaMfk6otqNyq/DK3
yUdX2+s8pkkJ9Z2s76Z5a1tSgzCchFjlZRWYpL35oZgx5459foFGqg3MqYWgaITuHjD7hqyiJ3em
BYl5HDJVqZ0WKyWUFDbNrndy+LoORyyX5R5pXXLdZdZFqvERosk2wX1weZ+1KN+1UhC5Vgi42XAF
LIwdJzC3h6htUH8MhkK7ADQwY0jVj4vG+pJn0+cxlHJvz/bXSpJ7i60OQoHej8FUTsoOe5/w7GJw
z33ObCdCCdqY5nri42WNPMTrmY14RXhbpUu1ZW67m5qEIZJl4jKMlUdJpMGGIK6vRlLrrIVSHpxh
aVlrEtQXaBD3rL/JMR7MMSAoqkQVghNJruBPJ9eNACOy2EX2aOz0vDY8YhW1ILLTx3FIBLHOzv2M
nKdjLgUPMHozFHLL8zIPd4oNbsOsLW0nKtvZamahHp2aTTWcDOx3rKq7FoW0D8lhMcoXepll/2Am
fUhkdATT2y3300jzpPYgwzjV+InuAeGWXso8I0XTwtNXOGcan+5IXmwM8Y+XjLao6Iw98Opk0Dy7
hiH9YEiUUQBU5rntnGgruorVO4NZVI8kiZZQJm4hJ9lW+6UaMDKXqP8Gcr88YpRoGcAez2kuYWGq
26Vt/yMj+V+V1xolLKXmvy+vd2xKk68/VNZ//pk/K2uybvgrKKyx3GCoRVDwr8oa9j4VrcU8HGm7
+k0P8ldlbbArVTUXwAsnoMKPoMb/s7LGxCMo3tkHojD5lp/zd3al79stLvU+rgCNDS7/yE74x7o6
QoO0OHUl+bhJSoA8c2mTM5p0L0wJ0BueS1tiu5TYet34w2bWOw0LikpMNw7VPMoSwoP09ey+U8yT
DLu4wzL1wciCsrVnWn9aouc+eIJi/91t+YWk5JeHclddjs2qAzDxx0O1RjpoWiF6yF/MonJdo97q
8DZjlmj8v38oLuWKWdC46e9bZ4vGaHbGKR58c+MDUW98lCSZ10+2PPz+UD9ui0BOrmAMfhMNOh4K
8T4VC5OSzHLBBXSTELfSrCPmlNbbNFg+63HKHoeVnL07ESho/j5olq2tuO+aZX8eHBHS+hSjzH7X
IuwZ2oVG3fekb5nWZs072Jaa2Vz8/if+fOMoxwiBcABN6mR/vTtKFzlGNzShDFo4m2wHdIaTGzE1
9rBN64Jhxu8P967vyY8Sq/1NRUAGLuMnmKagq2jEWg+5arYgnGftK1yNNxqdxUbLixOV0Z+ti3/r
bvn5MgodppmOR1ozNfV9RzeMs3R0jEoGqYpnuUQZys2C6PD737Veph9vFkdBTAURgCgNYayX+btX
zZShRpplJgMDpiV9deUCZ+x5hruJ9oI57O+P9qur+P3R3t001F1RE4lcBs4waozxcfEPDBrqNMPt
57o9EUzZy+8PqbOQ/vQLaVDAWsUAxwP5bimb48xyxpHXTostJg2VmX+KVCDmxDM7aI6izJcNIUyz
4zU5MA2rB6BeC2Mvo7YKBrhaWznp46Yd7fqPaTKUw4yMaaOHfXO3tIRj2hSXWgYx5vfnrf3i/hOo
ZwOLob/yM77V6SIGnT2vEVoSkGCmMmb2ZprEsFUUMDxJpzVeTWHhG1y9Lc5n80ldIA9IzamvbAyV
HuQ594ykOfrgXRC/PDXW5/UNR2743peXujnCK0KUMTHF6/5J+Lj/yIF3rB7AYtQ9TAkwGZUoEWD7
OSXJVKbtBc6NgaCxqUcOwNyFOQ6FHZGbGwMbgQ9NA/CkHs2nSOrtlW4tymHJxspvhr73yW2sEY+j
dZGMmT/1g0MPxUgarzUVewdll7wAo3W2aMiOPRvTzajk0iP1BbhGLk6xmT3I0emuiAExAHMvzA8N
KupR6c8VyOp9k5CQNJsEf04May7UeFYflbYZgrTMFI/C+y2bjdueUEf46FG275lOnfmby93v7/rP
Lwi6UQoD3nqGHD/J/eB5CinG9aZ38ZWSwd9OHPVACNO9XELs1RKb+P/hiAjUETfCU2K9+XEBcNtp
IMU+64M2DA+g1bY50W9uaV7QS0IT4Fqff3+8n9dteE2sNrTVV8Gf/k6f2kWgt7k3fZDOObh8yvZD
VI30i/V29n9/qJ8fU0dg3tVpRSJlpI3y40+LJMTAEW8rOJRBnEhj0A6wB+0PLuAvj0IjlDIF6wnX
8MejFDTvi37kAipWC6OjsV1lj93Fuf79j9F+Xsf4NczeUEpiG+Vz9ONxmDMvGq4YHF8M2nycVOnO
mgqsvl1ZIRHvbKxgPPggmrHFOY+tHgWVmSUfLUsGh/nxg7FqlBGJOhoJjYxGfjyNpqnMJRnsju1n
bm+ReuQ7vEH9zhzpiHqGuZgHrZzcbatWr3k12rdZn7IzE+pwWSyLccSDFn5wB9YYyp/PCbcqISyk
7P6kWY1MRSG12OgC8oDLg9qKratKFFtl31yFXY0gD6bHlxxzjJc3ynyWa7iqlZBF6zolndYyf81h
Yl9lzuQvy/gkcfx5TdLXd3MpISn3idiLKB6P5ZxfKWr/UXHx6x8AVwIenIFFn674D1/hUGvdYqad
ENAeuyWhqN7J0YweYlYxr27s1A87TaWFYfV8sdriiNXq2Unse9Sj7kHWBKWwux9oqFbuDd3M6t4x
l9dFhOXRcGJ3h4Nl9scsVfhW9OzxE9KzP3g6302xqI94LL77Be+eTpoSnHA1A70mIPGIGLo8gisr
SeRT/T5pWeQlQ6k0VQ9GBe+ko3P+wVNg/PIpcGGZoerQYai/e92dmbUED20XkALYw5lB1fFCWXVt
mx2jJleFLzNMj0wS4j9wc/dyiNgj68QJrElBQ9TtdJW2ewvydDPiYiNMQpe1F3PAYBJkoSAl0l7n
UtNYKu07ohO2Qk3xcCruIzK/dq8NQr1QhJbvl6p6tgf1zpo5EJxBHFVYNT/Crf9cuhFJr2omYWuM
aH6afQgsClmYsiA0af5YhoFNNpCvLOjdqkUYH9SJv1i2GeYwn6Su5y9+z4nr8swqWxadoI7KNxcr
PF9teKyEuXwkQF93XO8WGI60ggyg+qH0f1cjEhcvSW4XPEltdJ8RbIYmeVkHhzO7CTEDzN6oluIc
wcjFHzxCv/j6QvLXYVCAoGBgtJ7ad8VwHyWNHqYq41J7/oIP/5p4l1s0PG+53b+w5bX8D96a9a34
6bcKRskaoc9M2t69NTBbuylJeGTZhpe3EOGu9Jmm8VzGg2cMyyv+s3uauWTWzTXFjemgHemidiUY
f/DTf/kwMQrny8IAl7Hdjz89gewj4oH3F5Vk76s1TUkTA/FGSYDYijh9+/0v/8VH08JBy20m+BOO
17ubbLlpFjHz4SbP7RRENSlsi3TiD/aI32r799dXo5PBk8TlNd97C9JOiyrNrLuAPXLrQbuN/aEk
Q9sKHeUw4gUH4WfSs5+bfDuGzC3oBuTbaVBOy0LA5+9/88+bciAP7ArZlENNEe9nleMsxRJ3GScz
9Oo2jmwMX+1yCeon8qJCU7y6K8oA0TQ9xoy4qN8fXfvVG0w1xMWmbnfM989aD0xVN2g0B7Nmxi+1
3a5ztzbqz+iEBb59q7Isj/hCggWVeRVa4iQivxgNAel+RWPHGfOHebwcYgMNmt73krFbhML39+f5
i9NEZGPhdVHRDtnvpTax4iQz2YBNYE1huwNMNGzNrnEZA5I397cPhcWQoTKqciA273s/zA27usEx
GvRLWLyZJBTdLGVMcpJiqf+Hn7XaaVCSrC21n1a1epVYk7PVBEIn0cBl4A5h0w5PabvO5//VaLz+
59P9PbzmF4sYR6ItQokIE+O9P4VMnSitJEdirBP5YV/Wd0XUgAVTO0AOU2GSzhPPHywfv7hrxH5a
tFrw16FQfPc+R5FaQrUQTYDZd/AKMaG9TQtmMyrMw9//PmQ7P6+aVBqEmhD76ZCW8m7VdDKzktGi
8YiYgOJ2zJF66CyxOS4+TuYSblvb6b5FTY4U3xhGwNh9K6ftgg28uEHxzctFJNriHojVyD/p9YDq
FUG3I6F7gQdDat/EzxUMi0uYhAISeZzjrOgYGhP0w08yPHsNe/DdQYxkx0GRmU9Cid0gwYAMRBxZ
ZwrWLyZuQ+qoWXOTGMddqhWkYxpuHeufof8lBZlGNEugQbODiU8TeoPQb5OsjR+6vNLmFVroigBH
fcE4Xq21Y7HgIQ06mQ3dlShK6VyaPYkBN8RX5eWO/66M2JVbZPIbaZJP5pfZYEaXjk0gmL/OJNMd
Ksz8blBcKzy2pVLtkbXDNpojDD9YQJJPuNoME/MrUJSDHYEw9RxZweBE5zpH26IGLHGRDmwnMfu4
9ZgHXUcaFlIDMU8+4SGheiIZKVTpO4CH9uuCrK7NkBAE/2zjBUYOgavAWxyzau/glhFEh506na9H
UhLuysRs+y1WDNe+VSu4rkzshkgeKGKnXeNMbrIzywgMCHqnZfEwkbikcPOJ2ubh2v5TFdi6jFaE
85DGTe6BkSU3tDPjQdukdS32hSNv6PPuJKSXx7DW888k56m3fYnhNyzSCd9Kmm+Nxj3LfM3L7nZT
bJe3oU0T1YzhGgAqCADaEpXsZuhF5HCEwTx6et09pxnDfJJgAfWmk7GDU/DVJOl7O+DX5hxaO7C6
Ud0SU2cFZFVVMN/NZQM+Ljp1Zj292D32C1POKYrU4XlpLEFsAjCQYZqhhuafUNxscSE118ItWub8
ZXKNCGvxGDtqJ6fI40toIwjDbSAwhMZ9mhh8BULRbpIEMSJj9/AAazgjqzKTFBUd8QR8JRiG28tN
lk+kpZg9AodZ8B/ZOaO7NI0mwSrTpPt4X5rtxMh8k8bhAJIrK06jEeNVSJxrMl1uIQBMW2104t2y
tIs3K730Qx2180LpehtGef1UOp16UcY2fkI8Pf6k9u0biSElulpYQQ4N68CuKnFocxf1Pui9g6Em
+qHDgbClSXHUgWYhj9d2mZg/F7AGPmPg2tvCvEvk/BneA6M/1aVRJ8PPhaVELW9g4RwGaZe7QYGf
DHbkHh3dCj4EUWtFlbNVU0CQEOKZ9KXkYsfsG26TVhmum6h1bjsJ13M0uoueJB8YuiAqZqV87RoM
TI7RJ3sSWsG5FM7wZna9hLsykrXtZwNBFzM4HqIdDLbmutoCkqgIY7vPKieG+crD84inz5h8u2Ef
wceURSKN5Pil5tpfNSNPGRmC5cbJtIMqI6ThVV8RsLA4J/4Bqi8vxDYEvD93F/gcorH7Msetjcsf
VwY6GX+BH/RF0YwdbF/QKoCmxzqwFb36Y7JBfe6NLNelT8ajDSC30iDNKsReppvMRgSyyedBKEfa
syoJalUDy6LlSm36rMz9xSmG+5iu/rWep/p9WJRZchhTq90KIDJX2kjYAtPLcdlADZwITunUF1Jb
qCfp79bk/aj5iYyA9o+eaSaynDkCbkXohHExTR2s5SEL31ya+9KjCijYfCMw9JfZmR6YMxVvbb3S
T+ei056gerQ+WzRxdkvsdWBGsC/F3Rz0VCz3zmymX4aOv2dWcjQ+PaztpWI/nUw4SUFigfVFY6NA
34HlCYeJJyE23OZzDCzoD5iu2S6blOaz3ejJPkXfCM8SzsaOPNruEQUVqCO7GsF+hoJcH7l0vBzf
IJiZCiUysgDMphRcB+gaZO7QQkbe37vtLmPfVJD3hpVx0yfR8GkFRcNzEQlhLG40hgn+MpMYhILR
4KEu43x9BpXxGLlpfIdalNhWG1bEruNyKp+ggPAT7RVXdyLShFMlTuLTgEdovIxCmI+Jg+muUiE6
Vz00UDPGKA0lIgm+4ZmHXoePSiXSHK06js/AFYCiMpjc0jgT5wj9urUtq2LZLRII6FhNZhGAzYvO
5BYNNrKwWJx5iYDRh9xdmvBrtIUL6jSO65cWSPeNubTafZdwvZM0m4MFEkbgxFxU0m7nk8KjeVOL
tn7BArcyaa2FLOCsAWHJlU32YoL0ainYWrQWmGWtYRdahg5mLzmWn4eY67rYNphlDYkCitaYywrB
ApIp3YhAun331R07cTaXRkFVULnReUIDi8nRKor5K0Ac05n4Ao8GGHZc7CH2OD7Lq+wjjTyFsBti
ZssVqu1IuaYjVKp2X2uzOCeiCh9qK44wBsnqyYqszO9lvKz5P0uoITikiBTSWJn+DkEMrUquA/Sh
U1vw40lfn0huAkFLNGeyN2r+dK0q0Vm6jQXw1hFU4CUS/LNpNPmhzVacTe/SxPGTjIgACNf8C9/i
k6JozHsfx0glNwvvOW0s2NjzTNPasQc4y5EpvDCc0VO0/fqUy7gmzBZKzl1SQBw1qx768VhxkrlQ
s1unb+tnI43Bq7sL2ek1UUvn2SpgjnZIkj/nzTJdO1YHPHvFHyfr7UYM5VyIFPpvs3KAtQwOqWvb
yCUoMuKz2XHVcLLMCECU+U1dKkDDE/iZDU378BZeDqFZagzb2hj5G6slu6Vknx6QmHZflxEu0BGr
YBdvlSKe3+yaNp8XSsDuG/otXbvBizCW5E9VwJPIGigwJyogU82YLdemll0zH4oBIRS/nSdpUZqW
pdcyedJYs+JznqWVRpTGUl0rRkoTd5hz7rWK7GvA1QFh23O7/q1yFPZMOFpSbDUjxhcSRj59g08P
Y6e9WkMKzI1Xr7lhtVjeKj2tW8/SyzkjLEbIV3gi4FdDICp7pa65LBZf8i5QSWNrNxYl7/2i58qt
26usZrY1vE6109zAGafx3xAYhb4R524aNjda70RnAnWgrrqr+Xk1lLOOrTwSFK6HUon6xyZJSvWm
JfSVNb7KCnGoQC69UVHbl+yJw12NXY1FDJgFfdPekAyEDedp6Zz+KizqKBjyHGupVXBr+GxeGK2Z
EZFsR8m1ZXb1Dnhh99DWA4igJX7D1cr/1NV17YdDbbwINxI7s8aRWZuAnHRjKj0xGFagAeveMNE0
/axveQ8hos23WgHMgCJkRBCW4srOI9PLleoOyfglAdqrD1xF/9S3rT/CY7tCJXlUZTwc06JuOWxm
ndURoBGwLtYNYyHPQ02Uy8lS6nNJlMcdKfLVwZ0SibYvKRbCYxg2NpAQDiLpj8M8EyrPu3mpRmN7
UUZ2eYzict5Q6lMCYhBGzRo9uwJWVmaX021WDcbXITePTaJqLGmgPReDIKjS0la9j3nCX20+Um+T
GqRO1Ys7rnOmqt/FdJYPkKZtpmUxBelAOvSjQ7T7rQp5eWdjcLGqvPFBdeOyT5pq74zLM/2/4ktW
2MsKiOMi6XhXWejZ4Xj2PJuIirKsO2SKapA3rMAdLcx61wFuOsVEVvlUqOO16WRqYKRpdycbxWKp
c6Nb2XEQKUL7WsL32dCYJvjEDs1nmF3WJ6ht+T5J7E8TJoSAdimgX5VSblMkc7WpMMVdooEOvUrT
D6GxaC94osYdQAE16HVt8Z1EGv5IFiHd3rjfjBmtwmierRPFhfmYmiIoxVTteJ1YgCus15vIwgbo
5q77NpDn94geVrtyC3dBtVCY93U8pbADEIYK1q5TEXYEwKPTvZkH7pIYcH3tbOrCTdu3IEunqX5d
GDURcxX1yVWT8hgkZU5qEhFBNctajWXbLNLOI2OxhTKHT3jpdU/aFgW9GaXP6Txlx2gs933WIJMU
pnJRzel0Qy7AI+byYseruIP8g/qOqR4FmS2vClOEDzCVKDOIZ8Ypr6ab2umTW0dtFz8rDOfUzQmr
lxoT1QMUOzNacS5qpIBejAqPoUW+HOa5Gi4tofDZKcC48MJZ5bGOphSSnBFj1MOPxHvXlmxLc2X1
7DNDGy7dsE8/F/BpAqHRgKe1hlMWoRgtDZko4BdI3b6YaWazq7MH1GOyTTOw8Il6i/r/2Kb2tA+H
VfHbZZfYO6pTV6Iu7swKrxsDnk05dj3OkHTeIGLba1gSP7vMTNnnPLdVuTL3xOI1Ndk9AEFjwuWG
XvsM5aw9VLr9oi3Wa0iqyhMVa/6Ud3As065THrDFKjtjkNG2t2VxM1tULDmBFwy93X71eEJopBya
9oDVBjyQJIiZ/mCrnb23iUXkG0N231khQgtZ+2xXZ9o3lbrRnRRshcxzFqFKQw5dwM2+0RunuLES
+sibZGYBTeOx/5p3uvpCelT8tQnVZU1C4y9sUAEc0YZWd7OpO+PnloqH+5awyYEQlfOVUCzjkNf4
gxeXkAe+lvTOFggVkqY//1cVrkbcMmNnipjSPEYrEKLAkfG1kx1NhG6WxVsGtgFu/dKHT2qXai/Z
NzRVZaKk7ciXf9Kzlk24GSYKyVhL2H1VRE14pI5nx94umSBJvJlYGLoY9S5S2n6odqY70tHAxcPj
EeuSAqcqwTnGlgTo50ZV+CRIhEVQXk8Yje3UzYRvliqPUWmgefWHjrMEUYZcyi9RadlsYiYOmmL5
7E7JInr2jWo5aLE3okKMdhSv/M2oKaHUmSPtRz8mXFsJlHktAXompKAHJnAVaaya2DLbgqI1Dy3u
krLwqfPySYZPQzvEBEDIBBswXMHiTZeSo8rGAIQxmob79M+LKQYlkhuD8WTiLZ2KMs0GwVPhyLWq
gETeyDMQWWaIStemANjM8k6gHyuDPElp96AsSNhgZlO2rzW6QGe9AaGyI6pBnOa2r+7EiKKCW8i8
1RvDht+X2YJ+SFurWXrqUDEMQTEj/Lh0h354Gyx6o9gagMdeWooW32fzoAelBPZYAP29yWyXOPca
cNE93LJu3k+04cOzKfnRe31QOUeqcs46KUNunjVPpcL8ryKelHvCu0vvP4bdgsoT768CEohFgriE
hN1LsuFk3Yu5G7rXBI5oHriyhS8o3YKQdjgV+uTlGIKpd7mdJI/Q/zuOAJtJHq16KjoRm3V6UK2W
JkrLbCVlcUlEy6uOG4g/q/D98nDBhkhNHYmsSl9AS5/jwcDTsZaQuV3q/SZHG/igpcSqNnmlHplJ
t3tMHcZNETnTBVqm5NOyxOPDqJNz8K0f+B9j5AfGSBrXGp3Rf7WG/ef++b/+qV69ei5e/+e/D1+f
4x9skX/+ib98kRpiUjSeqDyBbFs8c/9SoAIP/Ae8BE0gDKMRT7P3B2cXCcygKFa+2Xc8eFPDFUnj
l5JIwNkB8vi39KfmuzY2YhQUrpwWI33kb8AufxxIZVrYECYQWlc8ocqB0LOpOZVUO+yjoXpShm4g
W2YG2iKC3fI7AmiE+4Je8DVm+nln2pkhPK0y7gFfT4+4BpITcxGsB8AB+XTWpYVAnMR4t/IVY5n7
WwoFMI9xNI7Ng0rclrIBnJobxSlzky4YhjxNrzDtu80GCoSzYzNSHopwphVM5odXzFrkl0VughR2
xI6era5vU1feAAtYPfXqGF7kRl1fdCjjg9kaGgxf7fgVhOmTWfTOVxNXCxzSyg7UmiydtshUzxSF
xfajezbaFFMKTR+ag7bexqdlJv9arStzx41SrsoUEb9v28MuVh0NX0rr6tHQ0haQWjHsRJfTndKT
MT0rcaw/woJfZby1j66oJiYyVm9nRCS3vcT+xGzqMScD9GES03xGwr+iNN3HaXKs7aDOXmgMxY2Z
Ks3elK1+1RZFe5COEXrYPZKLYqjGA4lTyaWr5M9u3wh2muxfsOpkp6bI3ADow/DSZXZ4mEM4Slmp
5eAx0fIvqQNeCvVlQ6pmW+1dPXklv6slnzKZPgvNGUF9JeA8GmDBbMBy50nXJUN4O425NtVjkRSP
jcKhy6Zm0hGPAzNcRWwNg8hHlDCgyGu7gGdF0vKasTQIbWMkbnFnL/AsNlRk9WF9Ih+aobN2VLZ8
l0OZZ3t0AE2CLcVGulsNtk+S6oBhhN3MzMBgGuXGwjtxa2Zadj3P3XIOR5K+sDs1F7GhA/5N1Elw
FHwz7InNwExzGuGAtpO7kWzmC0Fb/QLkj3GJPAtVTxyO12PbtLuy66Y/esfMydZTYSDITKnfXNre
ZIOOphYUdjpekCeb7CdR0qYMHdrKkzVGXwluROuytrwRrZbwSJipn7TapXZMelsFAksKkNW6ZJu0
JLWSPWcNhEw7bOqNaUY7wzdXp1eVNTN7Lzvx9SgeiGolGipTChJZK+gJJ9gpU7rpa+LLvKGp2p07
wr9sOCm7sepjt8zdA2qWkpBZqP1vlcTh4Ti5SyoV9hNseV+thWBVolZTkGbE0dAOUADNT6R1eQZd
qp2dQuZBmZpt/h97Z7IcuZFt23954weZOzoHBm8SiJbBLthlM4ExMyX0fefA178FplSVyVslle64
TCaVWRnJiEAA7sfP2XvtsVXnOqTpDXs63ucIir6Mrsz32DjdrwRXLleLLkaiFMfYPUzrcLOV/fQR
+Lx1b2ShYmbuhfuB9IYoKLNpPpOAa4OV8MLqyoNfXW/hwca7mYHNPU3lardg4SC/Hg0LpHb60BRi
UD0c5+ARKPZC36uis14ySUvDlVHhR8nZqDlAOQDiSE7z+Ujw5hE1mhDz0e5MtKfacQbKMmJA6sN5
l0ze8jzqBuvj1Mh97AC9if2Zr6S3w5vYK9t7l9BcGXrtU5IZ7oNvDce2tJa7aRCEaGl1xbwBswyO
JX1KwmLitOhW9wzeDJrxEl8f+L75Mevy+qboRvPJNEHKcmRttoabUZJN7XTy5iQOT6Xw1aNOGzPw
qy6wdC1uCmXsRFlNl8hu2us5rdOAxVPccrAsCTsr4wAQocWi0PjbyJrEaWnkNzk5sKbspjwxCDRP
RTe4m0R2RcCZi/AdvuQDUdbxNkzqJ0PV+ERn0+ofFz+efy1ETXaOoebjnBb2Rc1NARhVxpCQLDMO
ZOJkBzqp9TYJWciFufTnJB70c5kLe09UexS43ujeCOqnTVWxEPlotrYhzYtPViXiIwy0PCD2FXGa
3c8GMCPH/cQmSFyR7xu/yrQxNnqKrQCF7/BbCtUGMFdSPXQNduFVsNRXjXiNliLaES9PWDOEXZTM
He61monhJ7LZ++u2yB+6qiIy3HfLwGrb+kw7o79fSqfaT6QQ3guZ+Hdd3JIr3A9kDttY1w6FjTGQ
Lom3hec/bgcV27/C5h93k9Jfhxw9SMaamW/CbIqDlqPhdWzYDQGlzvShZjAWAMhaHlA6+9veqtxP
iCl4Niy3ZuyB94/Abn0D9MxgwcJUR7/d/pzlIwdX1SS3MizLwyIq+ToVkY25cHkOcc8GJoTBozO6
NTHERki7MJGaLuXinQo/f1iEPK1jfMjy0Il2mZj5gks4j1uVjJcJJMYHQztoKoYCK51bxvdp3s3l
xmii6QW/XnPlW426imBleKyg+NhYN2kW9OK6A/nysCzDPTAy+jQ5MwM6u1ngcO89paRFrcOJDY8E
7DJf0jZcovgEku4hm31utamt8OVaYRQwLvSOiXYHQqwArjMOKALhhdcU+NmhoocJKyz1sMXRXppq
Wl08ULjXCvqTGN1ILNY5gy8vLK4jp2X5nsLpNU5EfSD11z3TiFZfpcrzL5gXjVunay+dhXeO8eaz
mG3kxgR7X08TydNAn5aDN6hh1zhqfIarPFzR1XlNl7Q/xSlakCZLVr35nB2HZfUEQgvurhKTXHI7
iWyQWGV1v6zDBAYwzoiU7kIrzfxE43O65mA/xpx0wvEDZEbjmC+jc13USXplJs6+svCiI/m5Y0L5
oo3J3gjmhbuktEJoa2P+BNGyPgx0qe9oVchAdzWDoyb81csilsAojg9e53OEIDT42CHovo5tezrX
JMN8HH2Sl1UHE6he6FuB2lh+Y8T8FBdlCUw+VY9ZyFvoZdYHvD8aB6l1M7Kq7upYfg47+tFFZTN4
qKvrHH0JPTt9PYfSfs6brLxq6M/vbKMdDyjMfYIEs/BzO8wa9WnSftZG6W6gf/u7ajTHk5owPGLE
+zxJ1hXM43IfTSsDOip2+RC/ElU7E02JeF556XLl+0yjsygnuv2sKqTKCCOK8dbOUTyh+qMfI1T+
nMIOeqSoys5l47HVO5JZIIF3XnpXVb08IAevb+lX7gvXqg+eFu0NswRG79oxDnFqF3sRm9G1YtC7
a810OEZhmtBFZmR23zi1PkFIk3vtDRC/0pRwOnv63EnWWqY8Tn2YJrnc1ZNKg8whW75a2nLveJN+
xV3skSnZMG8Is851wG1FTblxV2O+Uy36awlg7LOL1lJQ5r4WkU9Usxn9VgxFs08LskGDuTRakkSE
FxRpZhzJQINCSBRMkWK/zcqbWptZYGW2yzCoaOKAruM3erAmvYJlYkuDbrRxfLCcWZbeUfcGPbHM
+4kD9l6ENTvoFEItZx0I2IRrgmE8QbKjIRhLeM6mn3Niy3sU/oBDoh16iJYs6oGAjTy7OEwprU0n
Zn0Ow46jZmlySuWr/owGMToSxhruVDng0Y3wP1+1NFSCKDa6bUNmOJ56FaqPTQzmbC8HTJDJIi6q
ZkPaTHOUMqTs5Vddq/wOQQULwkhevRVm5j4sIabJR0+HQ4olYfTi6msyFJhRN0WZ+8WT0nGW2Veh
4yXZmaB0v3qa5pGrRlNHG7BM/JJKeZO2zGotBqlSjUHJ0XvLcBS2H3kz5RaOVAqPIpr1r0SaxN8m
n3dIjeB85Heqz2QehfvZHGtCX0PdbkAMk47eecnVMHrNTVPz05j/q08WT56Vze2eV0Sp4vvwAiJG
7gleiWoT1br81oZC3lSJ9k4ELC08wV013KrBfVoYz22a1nG/2XndhZtFLfUZt8S0cxa/fWiLxsID
DpbCKOriIqYYLzDC3WhTxdNwtPPeW1cDMuoaDNiVTQljTl2xiaIkO7otBn56euZZlB1dRQHELaG3
vPPyWG8ddy4skF68nsjqCqvIaH/oaB9pVAugOjaQGYkaIt87EFy5hwkFTpDk/fwJ9tJdlGJn2Yjc
14+aDvZ2BF+JhXhYxA00MDNI+67btla+5oI5njvQR6q9O49dOEVIQfYMkkBq5A7a3ZUu0vQp8nLS
xNYkxNbvxtu5XKLHwlk6kGdc7JAsvYMBei7aOETE3xrhOLU004DouqSnnOa0ax7DsBA9kRn86LD4
zikDEv3QRz4ChEY2L23cyo+SSc7HsopewkKJa9uka0YTRxAEbNYM48CoIlgexVn5Rf3IVLNbQ3zr
Ut3QxLMvZdy8qqWlW1wvmpRLIxZknaB2SIJkiaDJCXppd1k+5x9SUafPXjqFB8/0yb6ZB2keOAr1
z1k7wDlFEwAB1kZzUkT1lndU7tM25SHU5N1uWrd3ZnB6zIVwfjfmFm/P9GWh6qPiN4hHbSs93zcE
goMJ9PPkoY2Yo4hmYfbK9IsEUs+QO1MhrZrIzjzFy5JeoytNToXlq1v6vBxgtcvNJIwvuVctz3Fk
h84GVRkfzppZNISTzR/IraRvKMdJBEuqljtjrpZtjtCdycKYPxBZRPTuwn3VLohWZCOQnL+xbal8
gyTxq2OZhpKxCPpPzp9rISud9tqxKK6Ziq3dziXa+TNwF3qvKNVIKO0nr7iTWdpZiBKgkN00kl2A
kTFU/mCI3U5MjADc5Zsxl2K6l76RHt0Y/19Sjsb8oSfnVz8tk0GsOPAlDrw9U5XOUgThDspU9ca3
Wj2duSSth0QiasjatTpZDdnm/5L+2cV2b+hbUpUOoaGapzwv9MsP7Z9/oQx8nzovPGA8Agi9oiqj
u/NedVs3ekpzS063ePycreGb8Ubi2Fe6ILyJFKnos1lYhzE1r6zM2Rt2u3diufNUeFMPC7STfsdH
PfhLyoA+Ofz5m3unIPz+3lwsnYi+8eu895QVcmwgF5rTbV23t6qmVgyPhEj//RdBML+GFhLDrt5f
AAcIFofecbpNTBx0/Osa+b5U1f7tZf7bkvyLliSxjX+ernDX/hpV5U+8qe+/8o+epPsL3HkfTaev
rFUf/s+e5Gpwd9G1eg5UJ8FP/bMr6f6Cy8vn99AMc2P/wGp760r69uoNwrcBj+pvsdrwL/8sPcUT
gI5cOSZ+F8thDXrflewGPImDn9ynZNAiJLdQKTBwjBhA+2Ft2xfbbRjpV2T1gq75HlwFacINMlr7
k74F9iPBPeC43XR9kvXWQ+zl6JM+OHBZaPm5GUtvTaAV1di6yvR5I75xLp5YfBTxU17AeXjtKQyy
YiOo4EZ446HybbSZBNlercmwv1kIVqqN3zXeF2NdFbXrRVcqW4+LVbQwn1b5AzVkeIgWllVgcpwM
OHxQqVjugAzApPvIHKtuGelYNvM5FmtvXbWLdf0u15XcXdf0ZF3d9brOK/jOn6m+zZ0tavBObenG
D+3bNtGtO8aIe9HforJBuWjVfOINUojewyya11sIzfG5CckZHpMo6KPJ/ZKsG1aHYCO9dZg8bakM
1B0uIra6OdGQcHJ3Jm4YkRHVr6/9kVKxT+ZH5fQQqvkm5o/hXHHUFP6ILk+H0aOyIaVsIAxhep95
+6fEDWmkTlp/BAYqHcTEWpwiMqZ3vpt1ZSAIipJ7hdMzAvJi1R8Yp+IXiBomxkxPiyujK8UqQPEw
mBXhQpmRTYq5FGrfZpMuibnudXG3bFOn61oS6zGV9MPcuPd8ElNwOhoLvfXXoigRAwFVa6FEby3+
Ta0VVLzWUl1iD/spstyt0yTDdqhidWkWQm0gmGfR1pz76kL6dXs1V6BiRNHIi7FWceVYQAe2Iesx
JabKm2pfbvVb9fdWCMZzVTC0imasKfumNOprG1rgfCPKQaj6ygST79WBT1fRg31CN4YB7BiX9b2d
NXF1QgYrOUVaaIJLtErghzYc8qEch/RzaZWW0vMoVhg82NsCsIl1GTqOkZtFjuoR1HAybZWh/foF
CLNq4OB0gtoYUfKmFWyp9J+06rauGXXV1cqvAtxMEts3XAikK6e5wgmde3NhXI8OTP4gZO542+Ec
uB7LPsaMX06vlGsIhbNugu1GtTefdDSDzQUlVCLwz921H0TfjD6z4AC26eXMyXdaIqM/irZQ+zJK
kvtEE+4RxM2Inrtqw4InO2Q73Fj1nPRbRsPDROunHsfrZUmGZoswwwqqmG9zWxPtJylhjRaRr4HK
9x52fdIFLQcwdaOXYrrNO0cc2kwNoNysaOaOswlHShWRG7mhklsDPBBN1zDMY46dzOi2NL2nj2bS
Veh+dAPzUXQPcDLS5eIPxlcD1x3PFLNrTXRTOju3fWV1iBsb1GKIlefqow4RF268eYifFtKwAQuF
dVse+D9prPtG2fdHVqL5EQEio1zM3z2I5zw33UPOMZbc5zS0cPDV7W90T5+dAb6ylTjd8kiDd6yP
E5r3itwItOBebciz1XXiZglT80JCOs9jaPtpsUujtZQi3XqTzU16WLTlXaWGN9PamIhUvNZyInnE
6splyytlB3q03WpLDqnt+K6qfVRTgpiLbV2MmvTxvTXE+RZPkXmuXI7ZlpeSPWVwmoi3dqzR6y12
shUWdA80rCg7vrSopF9T0RvPVpuPnzqhx3ZHHrnNs2brcQsM2NoV0jX6EzA9tEjWkHY7N8Z7deYH
7IGY0RrmrWO6NYci11ug3tqdwSEhmG3OX9DH5twGugSYLDChkXGAcNuIpIIRKh76M2YBYV9MUb+p
nGKwbwjvG4hDK8P8Sc6R9YKA9oPNLYwku9PoGvxSmEfae+pC6r3cRvSPt72JHkn5pRI70r/NXW4Q
8k1beNIPJZ2V27wwB1DwrSrkDS2x6mbpYUIdvKayPja9/ohEhqY/RFHUxzIh1CoYR9FDCh9TTajb
mhC3zLJ7gKuMQIaGqo4u2GTDFj6Ync/LfCys76GJ9luEYtOxatwiNJL/raf+I8zQOvmkAvr3I97H
aviXFM/ff/H3qgqKJ2wbCUeClCmOKOvU9keKJ8Y4XMdUSUCHKHj+mPWC6rRB6uNq9xENKgp29oc+
/n//xzZ/IQ0JmySZRMCmJb/0N6K/wc++K6owYcFyERLrkG+CRFpHwT/YLn0BOisMG+Ns23K8UP+R
0QBu7lTkS7ZjhtltBXzrByt3abdjP9/JcfZPnvTIBciq6WlmB2Sp4dmTTe+B1BQjMss0LQPC94Dd
0HreZX30ENXW0c7AT4R2mwe2Xb5MQ3aPJAF9DhGxxOatByI31QFPj0/UZEmDzc54dhs7Nx/7EmZu
XZsqoLVT3NrT2D1RDHGAVL29pXOVfxMG1YZnPfPA/AYCp8HtMlxmYrkf0sp1Ds3k2EheaYg/JOky
XIGPbM6zisd+oxmOHkaUi9s0L+mATq46FZFmsUyX/spuQ7KCu8HiSFutcjgu523rGqbeTPYcbkfE
bkg5dWPFCA7L+biIVuxEbaM7cRrnWrTekVX8oRZSbazelzdFJs94LIptqn2miR7LRxZnAH0bpmQI
UEH0+gzBvBJpahNl2LmmJogQqwV8WcV5IYhkrxxDUXGmxBZWITodG9+6NiMN+azk+Em3XmOZyZfH
ximb7TTHL/4szeepcNyTttX4qZSVuYk75kditqrwtm5nU+zyKk5aP2CUK8V5LJEWPpatlWUDAzMk
uMQ5aon/tcoHY9kPCNEoPsqqWwLgiva4YarXwK5n/3torNK79SNfGFDhGnKO23lspkNhdkQxKUcf
GAeXJfMpW93pokQEoHrRU2IiM+433tJZxKBHAJdVRtJ1KnWS7YxsMbIN8MwCMwxglltjpjg0tkah
NQBaNqwFzFr1O3UNwwf6ig1/aEWy1d8BbSos+xXXtqLb2u8YN7+rkpXqhvyIbgz64aw4lE3lIbS3
1EJ2zB7yuhiWg73Ubf/gd7M5u8+TGDrxaIwzBf7O8NO88MF24qs197QBPE20R+ZWjtA3U0KkfbOH
t4dKT+ZCfqi8Wl8m3SzkBadlY66DVPj5mRFRjkog8oExdMQdJfNovMSZk2TsuKqY2S8KfZNJIRib
+M03Z4ka9mmM0w9lHhs1gRlOQ35wVscvoVNmxa3BwAZ1NTv13TJOLsE9hpqIq6aQZK5NJu7VnMr4
iETNIAISfEUwecP82JJ6GEEkapFvJDm+Lqdxrc9NbJtbIhuju4a0hDsk0N4O/1AdED9RTgfeAAWH
6Jwdnkex04gpj8lM3erSlHuhZtLDRjUS45VN7y7fYHVoT2aahqfYc0PiYhQuAafrFbVxr52tNGSP
lkCWiq8cFOgmdax+pjMVm9AWuv5hGFV533jIpVVjb2IYAHd+OkZPYV7rc53XpgO8MFo+/bfBUPZJ
P/9Fg8ECesc+9O83xKdfSwxY3a+//thj+P23ft8NPfmLiyoY4vv3Te33ndAXv7AmYY0GPEe3gP/+
Yye03F9cj/ras00BiWvd7/7YCi37FzbItfMAQw74CA7zv7EV2m9Z8D8Y1sHeAcUB8AfOgV4FML+f
t0I1t0RbTE55MsaMKdAB8TupxLvQmJBF9AXqHjYoZU7XvTnPQYGxYcuY3zqoKFTHprCxhDhhV+xW
hsxt19juk85EtoN1Um6jyIVBMbVUtpGrP7JeNc12Rkb56kelPJm1yIPBdyaU6REN/FB9G8q6PyGu
jg5OUkKaITgukGEWg/eFhDaPgkkawAhSpHyNAjtuiiAvPZS1KUcNu26817LtitPAwrgXibsfOpLD
RD+KYEyT6A6lkncsSSt/Mgm8xXDe2eSR0JSpPqJbbw7maCxX3Zj77POm637h6FUj9SnqvKGqjaKb
qp3pa6e9d00ku3hAzmBuy1xdxkH6NyIFoOwVUfSZ4A203VY2Hhc1YC5KGuI4sHkcWlbi45SAOWqt
+VLVFXNaMpYIJ2cnXIZR3pXKv4rKjImazu4ND1WYotG8kfPk7XJOp5sha5zHVliYDxtbBGKx7Ws/
1d1p6BbjCNdfXtlZbFzlHSqozGw4TXK42HapqG4aN1bxrsFVkm6maXiSxBXtTCTt11FYOAdIpcXe
bNCxiaVbLvVodjcqMcIN2vgn0D/665wN7q6b0D+FKusuCzgQBlxuvnfhYG2NWs8PdpKqL0Oog7qc
P4sCKZusrfSImt88UPyFL6OXVHsWQPcbx/hsvhlmM71BfJtxwq51HGjdFzvGxeM2YYB37Ny23RPB
lGxn6HzY1hxzrR7QrBBE98Vry+m3aJr9/bIyl4MGe+CO54a+2DyhdEJE8hwPkgmFruZXw0XVxOzd
ETdGlY1nnAOgD+h2xZvEh8FYo0fagEBFFbNkAD+EW97hnqtuyOJ4jrVR9xvDspsjDuXsoqvGuPJo
39yZRUv4TZO42Apym5NLIo1CHQdjSOY95mgCg3w27gzihJ6uOP3s09LkILTo1tojh/UCUzY01xht
Fcd58MiEZ6wTbUybIysSGEjR+G5Hk/gasoU7iUhFm0txjzno6Dt09uKhbG5a13zFyaHC64ZxVHyu
Zf7BTVr1UFQOHX5PGqcuGezQPOS9ldLQGP2p9L8uNqL0XRTOC5ul7u7RC3oFPC7Cpq7tkkmR1w/P
jI2t+9ZDEjHsICI/QX9Kd347yF2Ul/4VKkITcSP+CPRpdEEeasTbKYE9mKnBqFPMPJuYjzOGcSKj
YbItXVURE8fErDNo8qVIBVgoue7FWC/70E1Ll4iVKBSflriZ+kCAyr1tZlWoD9QZZsPMllTlC9in
IfyGKaILnGTxN6xw7Ii2Ye/EUD1y5zrZxgPlPqEYsSVO5HFNyhG9n35RRjgbR68cyRR3KoQAm8ob
BpTob9mEoY45Ik9R4b+8xWZmcCO4UwSiSxjBvRg3hDPr+7JX9rfZJn/5YIaadgQKIoWi0UioHnpJ
O3ZXOhkvuZBJRqtNY0oDA0C/CYUUUnkxYYtk7eO43Wd0XTamj05jW6A6xFiDv7S6U95sVi5TtSa2
+nOWT47YVtUIFllpFe2wsLl3UDb13iGPeydEDiOndbjGgYv44YkIXvNM3Y5lLavahulW4U+HFFbo
DUZOzEUJhn9gAeHWyXLUaeZgqQMTvPiAJ9w7VGhg7kszv14iWuhIo5zqWsdOfA7rWu2rqbdjlNie
WtsMCaz4oRzoeKSueeWp9uAYJVQCr6fMlJGb7NoICugecZ94VHmd7lyzg+puTY7BWKQsb1U8VA/e
qNzb3m3GTw521nlDdPt5Jshvkzet3Gbajg592y/dBrUOhPgCzd/XZm6+sEe1t0jW3f2k1r7NmFAv
mqIRj5Abwj25nt4ziQ3dxaZ3wOZQ5qc8Ut0dJlXCrFCdX42Mg74uHFnvkYNsO0W6OUtneMQCIj5m
SibbDqXdp1E2SP/70KyPqdPoMyap5Qb6icf0VeOpnOb0c2xa8sppKsQdkd73RgnhoBdLGvQwPalV
R0Qm+K2Xe3pIKfmW/qHLy/oZkFYP7XEcDpLh6MEZC4fGroTpvXQ06iYOKnfK9p1022rTOycWS7zP
3GBbt4SbTLz+o4a5uTFXbkSE6u2eZhFA8CXOdvjNowMZ8+S3dtlIITrZMUvjYn+0rIYArtHx69fR
M/sbzjry13Ewq70D1HGHMFoe3a6xEFfxeqZfRdsaTcQeF1BNLGGf32Zial4QMDQ3A1aoewcz0LWn
ZBkscZleZ7FODhwUwZ1VuHUcM3dXvdDnxrOTa8xk8YewGsRtGEpgi2nnUgkUyEQHjxCEqrDQ/2na
iUHCk3/vpEoffNNtX2FMkPGAiRVkQX9pwaMXG7vwXJRinU+LOl7OkrPrl6mLmk2tCwFhvRKnWEQf
QqYFgSwLQfGggM8Ys7VLUFt61N3EnpWh2Nl4YG5IrhFny+g41bD7k5RmICpZU+EJPZX9s2GiYCIx
gSi/jU3OpG9MDPpH7XKUBEEULMTqYKmNzB7xsGcqdyMyV0b8NYEO0/J4qNux32LacV5NjVVa23EK
iUCkrARtCwGZp8qdY/WIHNsjNY2g0SSKnzp3rpPLf+v7/6i+h+VLcf3v6/vn/jX+qbT//gt/jA/f
8pwEM0Lh0lKyVvbNH40uSVwN5gTIOox+mR/SZPqj0UU+FI4H+WZ0+L3FZak1wgYHAt0oxuXrSPFv
1PVvnKkfynps2j6HEAv6D2Ax332Pfq7IJ4yr2Ztv/HIxlgztRj3PKMYmNrQCwy6QDcIMxyiqz52D
5VnOMxZWKpj7ucFJ0zY0xM2aIN90QOxWIMN8iDF43xc8+ZRQVa4Twp8wdYphXI5F4drhRDMDJxGB
iD6AT/s5DjXakiPxCOiSkcXRy0I1Ytz5aA+KK7oObUfzQMrKo3Ol5mQ4Ti6dg/EUqYHm8ClU2khJ
LPaa8bEeuciPRkmdsavt2LR3UTqR78C1tC3GYJSbgpdl0asFAr1idVZgp6IN1hZ2EQxER2ExLuJD
o0w4tVPphk9lYTKTYGABGwG+Zb4MxpcpLhJs43YL6RYlDjUeIw3dNqeFsc8+rsLhlXR6NMJdQeUL
OQcoDWU/EmYM3MRp4Iszy6uUueLqF2FyCy1gmsTYnJGo4GdfczH0bRxlo3HCPTfN24z+x/xozBJF
0VZEWRrtQ7t2sEibzB2HwxiKqm+O5CiGcl2HsrHJ9IObi6RFLtdVnH42hWPiUzz9d0X4j1aENdbp
z1aED69dzOGz/1lWwHB+/bU/1gXp/uLDgXP/aIHz8P+xLiAr+K40eJMN/LEkrAlWRLuvyC5Y3zgJ
/3HiJ8HKsR1pgeA3oWvRof87K8PPqhe66Pir6DGxMNBfMOlJ/HzeZ/7eDAYa+Usx5sUSlIkeLi3x
5Mh/p6b7/MOF+Rf6n/WP/XMVensxpBWIJCB9u3zcd9ysyNE2psXevsQGIIHSrkzCL0b/JUt6ymG0
OfWnSCjc3yM0y//FS+PnYm1exwZrB+XHFn9iZFL3oPgub07Z0m8Z0GFLZ5tGjUgV7mkKegbgqys2
XP2Zf/7y65//+ZMrE7+iABDr88W9f3nTSqKS9qh1yQsDQYRnjMw1BbLBmiCW9eU0rpK/gA++A4+v
l5sX5VaBqchkQ73n/ZV1GQ5R7ZsXcoRNJgUwGszCXTCp0wR6ectMtpPVwjnIAc1I3A/9N7cmuTo3
XK5D4yJCr1UElaozVoLQspA3DPq0awBSj0KexzrEGJusVBsUjZKjis5LYpD//Nqt05f3186laUsQ
A3sne9jPX503weLRBJRc5GBwrwy5fdL5kOm9R6zV05tLXGd/iQH8GZb4/eK5q58QqRYv/B4o5xpC
pRrF8yWVo3wqcQmzWZTxbyLVzYWhvH5w7FregpoGqPSWw/rnn/p/Ppjkq3lrrgCBQIJp18+fevT9
FYuv5QXkln5I1gdm9mGHRGMj/0KUJllM3l9hSyJHwwzEC9KY//m1wln1pRCDvNg4nx+MOibeeEzk
6vawrO4bChv7FbvB+nSuZudaTTwsBqU3KiQME3//g1u0Oa218rH+x11r2kblNyIUl4ExShPYmE6q
a5PW44jQMfP/Fw/J2orlueQfhFUrKPSH2R9Cd0Ad1mhyZKB6L+cYsz6HNBJ1lSDdvQUMw+ykOpOf
x13ukw19S5aQRtiaSlr1ktCgs+GSFR9h4mbaBFn2us9Gfyd7qqc4Zt7DX015yhyvpN3jM0XJ939+
yd6YlO8eEYULnq4tWwUl0LtHJM2jcPBmX15C2orNflFEcb/dN/TO6k9tCwID4QZL7swFLPDo7KJk
yQkCm/3mWM8FDYcEeVZ+WKYFQ74kv/6b1yKs//P3+S9WQfDS9L2FzZtFCvrztTY0cgA3tOUF7z8X
5O0yyzW0VopQPhEg/ld3NlXyz3e2i43X9hg70zSnN/3+FYs+MlORzR1uIKs6O33hvCLXWv9joTcZ
IKDdt5ZLBHqYhKT4ijGFFjjRP3xMhrVRQ5xh/82qRu50wQogDB6CBGLTNXrZ6vx2iVCYsHlxwiYE
flTVecZLDMwsgfGl+EDLPFTnP7+MfIL3H4tPwvdsceeaoA7fY2UXL/OxTc3RBYHOHPj1vLTbVBnp
Ha2+uT+WYzxO6HjGtN+aDloj2h9FGO99JF3wOtZjRzDrmnI7Jd5GFL3aj2/CoxhDkgxKGRFSQLcs
XBCtLD5693gynqE+RJB5YeS19BZWLRMMqZjZuCl4MtJV6MQWsGqeUiKrba8uL8OqhvK6Ir02C6+6
HdNQ0RKvWoEpF4PoRzmr7E5Wc/5VMG3Y5tQB0KvmBQLGrMf420y0rHvVz3G5TXr27yvhO4j3Gyut
78E10TjTb6Ite9VvOQpY1mZUyqhfhjJPCaYIlXrElhALgCVIJDetOTYIUpwITRRyzhk6Um96Xxoj
b8nsK7o+O0IX6JH/DwPMEJOAdeMUEo9ybUZAqxBGhleCYczjPI0S6pm98sWMCTUEc7m+dOhAmEwn
yN6u63sVFXkb0ICJwy2CeP8lige23Yx7RM0Dj5xbzf6uKWIadZQG/k4x6uPdVY7z2gFKTILSY7Wh
BGQhHmt2gQ5qCFZa1QHXCK3SwKcc5rSSJIq0ay9TGUbwUMYS5dzyXUdHRiWiOpwTzTVyN6R20Xfd
Xb1aMuwoiW/HzO+/eiVjWjpEsTiIJG23vlVEt62J/rr1CQVrqvrTJMTykRzC5Mpc/SDAbM0viP8q
Oq3gHpRvhnuOUtVn2i3OR/p6jB3fvCWryyQaVsPJsnpPxMDXE8RQYQ+0VJxtITGocGMVAlsFHnu8
K/NqYwEC/c1uhBtoTlo4Nd/8LiMIR8wv5XcnzIiUzOcGyOdKbQu1cmo2PeInzLQb1Cahyf9KcwKL
ESARhYsBb8UAI7ZFH+TXH414ZJxb+Fla4nwCp+ftDbEWPwuZ5VWWcaXxWVdnEXkUQ6zg9iv+K4VM
MufwvClIp3zWRsc3Noc9m8I8gxQZFdS2jV+xViQzdyXaROJtgIY2/A1apvUnnwEAp0S5EsWTtDIC
gTYC2BtkDnpDHV99NrJkJ3Z0GZS39MGCGfQ1dCaSCBNBvdrn8F7SYnJeNZT7l8mExNEtsX1yVzGc
YbMOKbvgkN7GDfAdnlDsVYXFn58bhzfHiaM6U9aFL4NLcFY2F9U5KwEWNsJZf6jK/eu+p2f9/9k7
k+26jWxNv0vN4YU2AAxqUKcnD0lJJEVLmmBRooS+C7QRT19fHNlZEu20btY471p5005RBBAI7NjN
39C7CpOEfm6MyYPjGLm3FJWTgU40iQ8AEP4HHZZos6IV5z9L19BDx8rjJyT6jHcMIQgxccBdpT3S
KzHSUfd/IPosIuolRpLDRTdJwCEaFr08JW00vPSxWUrTon8cgJwgXm/utp4mWuRe769vW9JOF92o
3FBBTC5SVijxvmnqUp7SdHbuwPY6dzO6X2flLs7j7KD85LoAMqaccsMzupE0kzmex7Vbdspkj8pl
7Z1a8VB8klypzJCuy1s2Q2H+aZbGkDEtyD7tcg6eIWHHe5ouw0tXcdr2cdp/LJBXwuEvH9T9JVHQ
Zd+o64th/KWhx8CfV9tzM7RrC9RZqxB0I2LwV8yO7Dua99ZWtAkdTqg27Q3biHd3Ubls2p6DZ2jl
aUi4I7uwScLbFlnqwCm7j6gEcJqr0rXkPkHX/lkM2mi1tEK1V/0gufOZv4MMGz2G9aa3JEIqlwQH
Kd8YVdkCSaBL8XOxj1cFKMldFeBHs/UttBA3OAGaAUigopusDvxnLDJldeTY4QY7l+HnJrIgS2F1
7CSfKyvj4s3lE3KSoFgPMz0T0iBOHkCry7vIX4YXCGe8ow7ZPnfkX+PU4QBu/IDY1ppSpaT3cnQU
onSEAe9K8KbvGugsVzxOe/bQPrrP1YSFJ+aC3O085Si+LJy4o9meQVM5d3ZacDKVeExh1ziTrvpR
oabbbkmt7FRnCTWgI0A8blBNjKCH8X83YGLYwKCLWLPRieKndcbnoigjFNrH3s6PDC3ZI1VWBc9Z
TS9nA/KJ578EgbLy1nvUtViVilHKDSBx76qP+cI6YS5fL2O0LcxXX41O97Fw2vaMHJI8ke73J+Tv
eKu5OwC/5SBnHRZS0BiV2ScrQ45pVal4ltHI92pXNTP2XFtAsQK+eCkH7uSyE/0VWfHzkhMCAocc
fe9IbCjJafFFehuvMFyuota8oKL3CU1um/SnWtJrz0e9gsakHB32WowkRegFkgO5zL0elF0EaDLi
1utaETVAXFCG+GvkPC5IJqBc6SoHNiV2ECh15XH3UaTAz7a9s6D6ZZ6Qk4gceRBEIIl14fFS8MJW
6j5qx+MTTSlRc0K3vVkoaR+nnv+xBfTg7UeTpWnoAtX3jPFybCpts6O6ygINHGU8uw66+KZxI/RU
J7feSXQW7y+rJgE9xbticSq9k+Z2MsFTlDkqc9008r02WRrfVCWqerZWKGCHnvZAClTIoQY081/6
vOTjcn1o4mDFZOBtMrY8k1DajPdZnggPemrYn1QeVPU+iKcquF/lYrREmXHqrSXt4NlfTWThp+On
xoz9KliiV2XfWnC642ipruF48rdhCbv9g2O7C1skKVlobQ6XvLjEvtXF3btNHYI8qUhqSnIfocct
45D2fFmA77HIFO6QqIgLJrDKNOTEuezdJDVQ3nXESnsNc/VZcgy9u+xP352SY0Ej4Dg3vV/ehlPE
FonsSZ78oJyvs1QxD/m+Ieqljr512OEitC5neUIlLoay1gXPKWI3j5ddIdaSj6J0E+dOIDB2dPrG
uQO7xCKUA4LZW9E0TgNKriESKY0xDjq3NCFkUOR6k5sHspaa3ZdLZKikv/BnikQI/UXHde7QjwRB
Z4JDkAksyBwUDqJtmPScMBhMeIe2Y9NMRUu093LnDa5JQNQzzaa2LaOPNi4E7UsEBJBZ1kxdQhYb
oTBzfDOhBAYSLnw25gBC7jf1ENnu5pGg0KZyTg4IQCJ22Uzmbotp5DPzesV1006t9ziFSLHpKNVA
fCkSvyDluZEShzhj0J4oP/hyxWmZXAjkuhPl62mc5iZ7g6kSA+jGIJ+lbfyGA6T70CXMW3a77SRa
Po7BRBKSWmX8dJkXN8zied4wRmJxcsOHKVrrNwwBcV5PrG0ZF8MpgMSzCRHjOy9lWnxLPXAjoQsI
xROU1Nu59fiAV45HRnicSEZGeotoyxiToSjxVBaKdc47XmgbLHo9WlMBP7/B8IYZZ4sb4QyBj+lf
cev5g+NsOTXrKyr79dQ4wD6MDkxzm7Re+y1eK/IF4a4EQ5JM6BaDCw0H5eXRvu5N8L8usMHQ2zjL
yKlQgaeCwQ73ympdujA0vCZc8pLFekgLl9cj0XinUxU7LJIXIAtLB3DZRN5CwJEm+PczOU5tUro+
iyCKo8SI/WVvbScz0rgUymVFlF28mE81znrE6G3J7SU6pNnktuQHzDK40/VymCTMaz/S/W/Lry05
JqdL3MX7wpzhDsPhpyRK2EGXwjC106a7RtGsI+SNxLRWrBgu0E+T2F638U0ep/6VIcbcpWsQPzko
q724WkUwnUv/ihqM99oIl/NTFhxuU50SrbTI3ceZK28vcRMfE6P+x4G5v0xq3Mrkm12CXmoto7ze
QQ4hRq9+9/Eib9qOxD3Z8wmNFWCDPLHKa6sNDqgHc99at5xA1HbZyQ2y/Ks/C3s4B93EFzcacExQ
9vGN9T3D6OmRGAHCumwi/yoMER+8omBbx9NAfQPBapLHFszwAW02N6JWGYNnu9TOIyZj7ZknJirR
52FJQugS9JoSl0qiFhwsAkQpGt+22Ok+RC4aebw7qVMTDi4pc2DX30QK+JguWW0f0FlHo12o0T1w
5ewRWMr6fs2E0YlQ+fsOO/ndwBdCdKba0QcORFzYQlHbLmyJznorL5QV0mnoK5701pObBtaXqfOC
lwJP9K8VWeU3hlwD6fZSQUIXykXNCD15x3BhKsOKMRaacjddyDJ9j+n8Hvnx/jrw1vwuN5SatBD5
73U3pg9oA87rdqqBx5SGgqOiQN3FXpe8z6yw/IK2N78puLB18gtzBxlRKtYKcVhMmUdbgumIZ/Ff
TOf/jOSA1wtdv38/8/09H760zZD/xBv1vv+tPwY8kfjt0iZm6ItZZhTbtL7+xHW6v7GhoYdCZoho
1pje/59THoa8kUfmQEvIxyvlBzdlQ3HAeZl+hrEopDX5H+E6XzfeEMajl8pACQ9C1/nL+JfBRFZO
nJTfk01ZO+vbwGGuq5Ui6o2S0ueHBXr7vfX4owfM310QNgdzHtN3w5Hl505fyVN3blcHZ+yBox08
+vyoTfdaVFF/QjHjV42+130+84Cwa1kvxit4ebzqLMaFQEmPcRk6Kpl4xpPMubskq0Mw/4on/rr3
xqV41YwEGEjA9n1tbyOzJUun0vHPpanB85BRFbgYQhNsQaKqpiYPy4J4ZQq1f17Vv3nK7ywa8AWM
0V5bEy19OSsb1frz4NKWbqLOtOGDxsDkUtKof76Y83oqwIOyA2HEwKmmnfO6ybi2COSGa+6fl5Zh
HiUgGQkqnjbJ8DyGnBYNbbjsGhgv5Y6SFMnEwJayZcXwHbmf5le9+r8+vmB+JwSN3FCESN7+vKnA
6FPnpol/jhafx41rNABsxmnH/89rgclg8MoWZuO82lBp4dkVCAcfWs9CP8G3kLEf6/V+Mmn1Py+0
+RZ+bN4DuKZvH/lBEAJZsl9PenB5NMfP5J/nJPs2uFAeKGD+06nK5SIMeC//TZR69UHS2PbD0a38
sy5pXBfRTDETic7aOuTev5p2OmZ1Xj+S54aOC9yEJXw9UIoSULIapY9z4eYk15cBipNYZN+VHLqP
UV9SEQnFR2oGTiobvSvcwbzvkIV/a2D9NzsYNz3CHqJ4/ANJxs8bJnEdN0lEiRo69CIkJRrHmI6T
GnXWwA6l8Kn3ZemSqys9Mcm8fLyBmYASQX41gf673ev7XuyDuCNYvR5FlFUMZLrs+Hhn6sZLnro0
zAaoZH7lYPh3l0IgJGKCxtHylzk7qv2U2GHvnfOA5Y3jlE8Wjj+hPhK8/X/evj+HesK379vMDjFL
dLncX7YvyuqgjPsOuxZ6BBr0nGTO5NHo0guNSmM+FP0qMv0cgs0ljUmAzRHMp2MEEX5+r12p8VB0
QMbbCZ0EP0JkfTPIARwM9N37HJ/nen+pBrKITh8EbbqhTA/OodWQzgMz70/awJouEeR7q0dpuimb
JAMvD/uItsw/L1JwQVj9v0/C+BvDRDBDbCAdHiCzVwEFnE/hr7XnXw+VjSSXxvOlzYV1SJ0BV4PW
rhUzRYoF2SJoX3RK7I1+yjtJc6XeQxSn8sSBgxeZBOn4or0avScwirjaXKpalxlGtiMzpAsTOJR5
QGzpA16KngpJiBM+POOLNJ20EJk8CQEAb5jFLfqPo5laRanvob/OAm4U9d5bYIn0EhHIiJ9GDex1
m6Ek55ycAc01+IaZXHZ1nIlyW8k88YxmNtYKVdNzDdOgEkNGb7bHunTjz0gzI/9OU27IWnZIh1Lg
R3r2oz5apNzi+jKbG8a0pg8vnSa7LqtsfGGK1H8MO5x1rmsnV/dORNZiuaNFrwdJr/yTo2JeGaqm
oiw3C/2hJ6Sf2XtjKZ7RnWa3++hDPysnpkHuIGq7ETON25o26ReEzN3T3If9vRRjfQwWyt4wT2Hv
EX8hby4oD8DmNA0Gy6PQoafBzA+dza23+ut9xbjwCVH2/HgZkF9Gx5cKddQu64NKX3g/DKl+cmda
y11s2gEXsJ2zyuGlrFPX3QhokHs9JOghRVAXnqZO8VPA0L2rOGn4LbUpu/XIuoH7pyy7nHINJzWI
XYHovaozWZxgg4MEVWFoCtVM+EwmGqXD68wkJpcZ/aX5bheucY1QYt1XNlZLlBc0SJFYYteUoBCf
Q1GymijAdcjvt5FCUNWYJl1fSkmL/tZwHPyZEbG7GgCIF2DBtUdUEMP6NuP7a+3U+LPpCBMMi8HX
TmFLFEHMjOhchMB6cdq4YNqdxmMvz5R8T4MNVP8IoSAyWNr1bedEnEUj5Lf1AHudpIOZGvV9B0j+
VoeVxug+Z4Q7t33wLJimAdlpJB7vgP/lQ+pp94R7MpwINxX+p2aem8dI5+q26udq1w9riwubRV/v
4OS2vM7R0r1KKzNKGKp1BQWo22lnD4mgO6dRNYWQ1ZSbECLnXYR80Ln2s7YDchfH2zwYaPQz9kDD
TitcvewA6/es665L24B82ZOITcArfkfLKGqQaJ1qGgZy/IYxMgwDF6eGGNuehjlnAVpxKolMW226
uovdAb8eAXx8QJNKDgeoDeILSEIw6HAVbxh1yvRggBzQGDCS3sGabI5zO7V3EP+cBbLIkH1KzQQO
+Hh3i9aIODKHSM4oTOA1GQ2LwOYLQQZoiRrboKW9Rtk9VSC+fP2pQfZwD6kGdztn5jVGQH2Q/lya
T+ivhuOO2fKwK20ZHk0yOhjOL16HBmKw78kBNwDF6wPw5tEEJqYArZ3cT7T8roCzdFeFzIaDCib1
NUnbZZ9ZuQU9ua0/5BgFbivVjBvEOUp600bVsZTPMJv5Pmh04+ZWZ9tpls4B7yp+EbLT/srAEm55
0rYbGFSZsxMh86dxS5ci9BDgBdyTtubNdygCO3F0Aoevgl2DPRiO5QkX8itkCf0J9c6o7Qba8gMm
I62y9m7dTu+7UvTddm6Gw4QqGJ1i+0sVDu0HlMdcKEIYwg0WdrnIo9pHvC/wdQAsj3QN4f1G+P2y
6VKbNxqCQrih/9C8BfLVvQVex6a20Asany9jAwujnmEzmNHOvu1GtzjjPUqC7WL41W+JtuNLKm0C
Uqtj51HZmi1rj0yyJGq06T6a1gA4e56tNFRRiGWGzChObxn9tx9RslzfXjpeoarkaRxizuMIzxVm
GK7fnrEBM7/NWTGp/Y7DAylBYmbAvtZKHYXaMymcmGnczB1OqEiRBWhvrz64sMvwqevYtqhFIlTG
IK6pPrptn5LPZfBsHK91W8gF2dDVn4Iii7pvqpt9M1ockz2uxsO+KfzlK5iUHpvf0gp+R4QlvkJr
czhV6P3hd7mm+YSQYZF9HubxuaCtug9QJE23yBP2w4dKW5P1kOM+5Z0iN4vuZrplW1FBlc6WpT+h
n6kPKjJ0ijhF3i8O/eX9HMj6nhHFN7fSH1bXd96Uo0vjCo2cauvG0Jr8qXNf0jFLX3SeLw/pFPLm
+OKLfU9fNmYUEWIxN2e54axXQ3iNLAbu3etSQV0fBHF8W8IFWE4IpdiwwVp12w/ILQm95mji1OXk
bARvAVtv+glPVgM1ew+NoLpdpfTfaPA5b+AJT/c1Bmpb43z9xZ+tCh857X1uYzGfR9FpOnKJm4vN
EHn5FueObLNMeomxy60IF3ES7Io68q+BK3xOOmt5WMa0BEc32bcyT4NP5SIQx5RVFnNWGuEcetjp
XUzT7FaumI9Y8YKYUoY3+bObL925DoEpNHkwnZFlsJKNPw61PDqEvAMysFAbQVG6ySb3AWsfMrCA
j6LsutOMZPRDh8rzja0m/W7MkC2K53T5OFVjP+3tYfDz6zVf12ALyQNzoChZovJOrDS4j3E2DSeq
XOsGIb72PUBnN0YpYUJI3bVCG7VaNs/dwgn/DQm34XbquvmIw4U6N8VQVzs0xxO69g7lRUZwO5Y+
yGlGyh3D1nQO53epOy8Qlook6NiXlfxYrqMHnbAKbtbcJYx6torhbKCKtezg9k0JPJHWvR1DhZsW
CConQlkSWfWS6Pu1dcWUHGKr18wC6O/6Pta3KEfo0zCF+f1QO/37yVHDU1Qpfz+vgPF1sTIVCdH4
9FGiclAfL8Kdh+ZqDtlVZy8AdDiHRhsp1cTCE2Dns1RvZ02dAr08lFuM4PI34MPW97ZcLHgqI2CK
3Ou9Q2R5MtyABA0O/RBCrW3dPMadg737DVWf9fcu8sYvCFuGL4tAiOVgM+jFLbRymLoUbRXKTRLR
t0e4pc93MgPNdArH7luQrenboQBWsNH5MF57y4riV9siswC7p1cQYKSE1dbIN1bFXNi1RTLu4tSw
WbVaVxBFLcqHweSP0bmcbKa46DF8yJhXA6tJdfGGvjDKzkhQVm8QeqzwA0GHC+Cwx1uraCD5wPQX
DEye1gyXGv87Xve/Anq/4rcLumQ/lDZ/8fT4HXwQaPefKDDf/86fUHcbngve4uBWjZgiQnr/6oQ6
xvADQGzk/UvQ5c9GaAADxnb/pZHnUfH9qfViY+tBr4vOD/Btw4T5T+DuP/daaEUiQOlQhAcOyGga
rKZy/gHtmUwLIu5Jv9xN9Us6VLus+vzDavxN4/NnsPJfL/CqNJWrV9XdygWigsCJxccUP6MimccM
aV/++VKXxtAPJSVtMLQIYQF4Hhy/v8IplYPrckCafFsEFbU3qamF9o1AAzhyYYV/Goo1jb7AUolG
cF2dO1j4UIHqyJtrEIB9Wr+A7IpQ+EgnP0N+/5jI1AwjmulrTsKb1zeTRFPKPwP91VfVEBeJhA1j
q7MApJs8qn480OAJroexcN4WfYvxr4L118AbbbCVjjwZjBt3FtYybJbZi8cdE/I+Kx/67/YgTIap
PXfcRI3MFDOVYdNM7rWkWHuvwHifKzxYIM5BpsFX+rsbSoiwyi5Yhb6L0OxdPlktDB9IM3W+ockj
t4huQgHykfbX5wJLcOthAajkN3tvTpMY7NkIX39NjiGF63C8vJH/Ro1fRA2DRv1h7/4laPyf6vnz
c80I4fs85urlf/+v73/lz+mJ/5uZcDiQQqjiBWSUf8WMKPoNmyGXPnRkWjqXVuIfQcMjaPA2iSeQ
AgTtFb7FP9lz9m8uww462ALKje3F/xFH5lXQ4OMSKARwF0Qol8LqVRuxcDrXHzzfOsWWBdeTmbg+
TbE/PP6wJn8TOn7u2gWXy5geEYwcz47+0q3UzoA6kJ6t06BBvpVtrXbeZEdv6mXGhOyfr/WqaWeu
FTsOgQO6NInFxeH+hzjIuyjoc3jJSTlt/IbBpXH7c7xrX9uU4dgeZ7+4IByXn3rC5vFIDmFFml63
Q/fOjBt+uOTKpLN3QomorpIJWE+AAzetnNBHbi0wrxiWAJGl/e+hHTSls0esqAp1BN2BcVofpPgx
zzP6m9MKnKQzA/G4XWkXqFhinYca/00fD/GxT9L4uGj6gjUBZYvElPEhdOp3FR1YmC1yfA8yv7mO
Z9kdrKSGCKhwZ0SUL2h2Rrj0qHobNEM6qH1PevsOSUX9NQbngQiRL5/wfr21J5VT1VXNduoq+6Rd
r7ylPSqibVZ40zt3wFZPe7p9o72leO8CqcVJN6kOQZ81poMx483dLCe7TQh+unePEbIDG9mrZe9k
a7dBkGE4gwZu72QXLWAqS+/ZrlJsFcTS7zQWNacefmG68dc4EbCJsNUeQGVhQ1Gv74ANZhOa2Au+
2zLyD/bgyo/Yt8TYcq+ZDDHpDr9bdsdMMzHwRlazOIQojTS4zbHPtyRnyIHbXt18niSYVdBH0e+Y
9Ln3cWrHeO7ZQ/xSRAOa5k6Mvc6mdlWLt0qRA1UA5ALINPIynAQrI53e+NUbdAgAJQs/bW/CaZnO
amqWp0jpCl3aHBNtt2LvFTqFOZ0XWBt7zj15pL1NDCol62NURhxbfqzDdj60qz0e8FkhM19bUb/g
AJUdsyb7omTRYQQTBec0jqZu4+ggq/cDi5MB8rvtIbj9juCc9c5rcn1j6wR1DyhE5ZVA9sFClqVI
sANsrQdf5MFVAovhNC/NsPdUXt7QP51IGcT4uXRox+51qkWzt8Y8vmYJhl2WiC/9WG0XB90BkI7g
AkP02DzcUs0EIrHGdQOm+H0M+olN2lVHC1c9LAvrdTusmAe3LvItcUIxF3bjuWDM54HUQpWTeVjx
zOAIkXwr/ORhjLLLACDs11D098lSuTfoQr4N1mVxNoh9+Wxtvp41cOdbcCS4gDkY+eKlcwikNd6W
bqM/j2urtrzZ4DMGyuUblCXcXanH8b4PRmvbjNF938f5HvPiD9YkvTtXIzcFLn+4s0Kt9xSFy0PT
xNhMOvF8UHjlNEv9e0gjxj3lZbRQ4Y80ANSXRuSli+PwNLU7zB+BwiJP18EA1kOBEE5al8FeuHiO
bFWF7fQNSDi1XlUxzcR6m6GgRQlgIV/1hI4qYHt0TqZhAaditYhLqHkoHv0/uPBOsUbz8hiqMdvH
zhCmNAWNY4uVlLhdBGBIwXVF2MwssxbhhxUviQi0SOki8xct0AdoeKvoMBRDjo5WWo8CWAlyrPdz
GfCTGJbPGG33ckL0uEZl5m0qrBQZik70Q3aOKcwwhBmSJfjodtkEQsNujJ3TInHvfSqmxaICW4mR
L0jy8qKyMRut6xLPgEk+lBhF1v2RRnX5EXfN8iGewb7S8SEMt3WIS689Vk8hCiUS+zMXE5NlEliD
rjP+lSjBLLiCWFl8DIAzXi8uli8OtfTJrSGxbdZS5QoIFJ0jN2sBNg9gjUG/JCJ5UDhtfcEgOkFK
zWm6g18aLDJkbhr2fgM6ZQLuDMyluc5X4M5jPelmW/cJZoxWBH6q901DKJxD5+AwWdqRUyG3g+Pc
thlsXD8tldW8gST+tEr+qUf54kHT9cXLtrGMMfC81O9Wz++++gJSDTdivC5NW6rDR0fvJpFW2V6q
pb2K8Fx4gy+ceCaF5P68anYOyRDW8C9gPmzLqObe4OfwZ4E14t0ZyerJs0e6XyXwgB0Sqe1DWmfM
AQbSCMrsthQo3ybV7r9Z4P+EKQ3lnqHWv4fRkAUO5ask0PyNPwtHN/4N/F6E4WII/w/AwZ9JIDUk
+qEUiEARMKCDmPMvBE3o/Abbih+HIxXAGDSjwD9ywIA/CgCgUG16zO8RY/hPCkdDuP5xpM3tgCsN
fAcsBM+J5NrP6QuC26rGhtT/ivVFV3zjLEk8e4cqmtWPu3EsXPUEDS8fD4OiBAQ3qoLgy4oKX3Pj
tAHyhIfOMv6pJXJbnJVNnOCKuokq1FDeSxvVbQKy3wmNVUmyprO1nb0ZK/utV01KezsQwIP7xmHM
Q0smRf9oeQ9fF1x7xeEMcdFnGOZi8DYBMTgimJb3nI4cpbHcVsuKcNihmYuhgyQwZAmdrx9e5N+k
rq8H/gw1Yw9gUcR/KK/c16uDHYwD1E8HX7thmcHy1WmYYajBGUZqhBN7zCVXJ2/qbz1Or+oRKdiY
W3OJlDxP4yzp+v6fb8l9hUEQcRjGDuw/7CYYhcevwTIhA6+6HWT6gtpkUN52tIzLa+1PTBZQaRT5
glBCmENUgenRRROstRVuFk6ZXVs+t+ugevKkiYbvNYf5gFu2TlI97XS18ir2I1NRMkIpEmvdC4ge
4k5rRCmzfU1lgEyPndLvi3+RRf9cifiMvM0eBBCOLEgMpMz9eRNiY0vzmB77VxunKvEQNLnV3tdV
0uq3/7x6fFE/7nYu5HkBDRKSfjjIXO/nCylibKwZQrxg3+o63r4DjO6j+m/zha9eWPhvcPIJjNir
CCpr3OJjHM73nLRN8e2f7+TnssE8MlIKtC0cVNrw5RBmSX4oGxx0ye14LcTLPEQSM9ZOFeNI/9yC
OnxNPqYD8YtFFtHrayIEHKLIwwrQKfkrazRIl07Wk2w/oywPOmpTRGrUbwexykhvtCI5mY/xwBT2
zvKSvFW7oUHMl8RJKMUOiJH4Vl8mDpzimxgwRDHfNEyAZTM7PsK833cVwucsWbBOqfgwpDHjo+1c
hyUPNzOF6uhIS2SvGLiBpRmTDYwNs++sIcu4oEt7JHqXZN24ftTKxMUNJtwJzBG0RD12LmxV0RcH
1+8DhZlmtuSmrvOL+qtYkFNxEOFNBv02whYh+NCAAtdPUjOdZ2TTFTE6bw7SXR/ACnVFs5/EWukn
PXrh/DjLXsz3tJYqfhY5p5klycDgr+3OzdCMQBnRM0ORbYEoLRuEJBssPuPhosjSA0xO0SBHuxQu
PynQdeFHchEONZbx85qN78YlrPlCVb8W7KtBoguvEGyPubSVL7FpOHuLuRo6KZ24A7ad9x/7KA/m
U8J8Or+tfIDpx8UZ1uac9Zaarqd1Qup/i4ueZOlQAnPUOcLvhghgJ6MJBGgO09g/oYY8Di5mYU1X
lqc/HgDPloxHReQ8FsXOthOLBQ3sxlVn5IWNHE6FpZJV79G2FfwXWF9VF9uhKxnA//E7+q4HTeHl
SZBnW7YcSuaYjuqANZjwMODSawfI4hoRYp4p/b6qKASCjIAB0E38wLKMWXndVHKyqq2TISkMxoUu
V8FADQoKhBAVMmTaOSnaEsmmjUc+Ra9sGzYN4opFfd+MQRuGh8Iz+hSwEwpXNpu5iRkIIm8J40wB
bsC96RujZTzmDmM6guO8tnC6Q1KtXmfWsF0Z3FdodtGcTB6iCqBksUPUEjbcVUIZBaQb3xBzIBXO
6vFnSnAE8hBFDIH1tveSuUn3rSXNew/dOefupIbMVe9RIzb7V8Lw499IrXtvvsYSy+e3tLhL8ClA
O4j4NysdIZ9A5m1Hbknx9PyPy1SYe/HjjGbRVoQhn6ACaMZO8TTm06eZtgu3VzBPM4dRMmNOfjeg
DBB8QAaRf9nGngq5rcLHy6Da9nPNCk7rMrGcOoK8SH7Lueaf6B8y4DqktjBb1OQL82MXNfx/RkEV
H3CICxiidYMGor/3l5zvXEmlTfDI4Es+F70nzSft08Fod7iKIO8G14jDkAFu53jzI/60LqvAkKQb
1GlebWYttzO9Xn5hLwdAQVuK5cnsai/P5bjrylg7wWmNqmCFC24/xhkeyvPOAUtlIlNWoSV2YGh3
AAKfYq84lir17R17GwRIOtudfhsotbL9o4FWnL+Pa2qxZkdTohV3IgjmUm4y6hBEA0VSePmb1oHO
hI9xMZk3zEwdQc6Dy7eMmFE+ABMFUSD7ETfXtRoGazmXpOvcIzhA3k3vo/sZPDeDA3qLNk2h0vYB
QFbiN3ft0MaIdwo795dqTyAm3OyZaRUKckI3tXGMZImIVoTUXTFmePoVU5DScC4Js+KLRkEQhhTB
VvHMiKGWmqJAZmuWpTdli/5niIoTzSI2T16YkBKOi+q7Q6kSsy/taR3YQ4mX92V6bo1GTnfoXaQg
ofMHHqFy6GEiA7steR/NZoVSNPV34Cpwt0XLs594Sw3Ufc6CVtULvwtFCxMFQRHE7Fw775JxPthj
t/CT5GU9fzbKxMSl0saU5R0UJHPMZSATCE+dv9JDP4+IS4u7mVXkW3DccWBDzTg5wPHk7fcqOEcw
BP1TVA2aG0egdOLSvsP0n1YXFXXxbVZd2Ho4DcPpGPYYO0sWYRynnu24MsFu4WFFUhEfVIS/65vV
VhL6CiEq8E9dj0xItoe/jwKAxtuB69tUX+pLHeELevtHckXUN4uztL3XxseSFhY01TQrFs+6mgrc
x0CeYqK365OlSfDrmRIs7PqVh8fCriLaG10e7hhvaYtVwicm5MMuEMRi80Q5ul7wur9v6zpfzJ/B
tEZ9f6vz1WQDojXOLlvsWDi0HJQcWWMvlLidIy1Qpeirh1aa8+X6YFtCBx9BeNl3Lgo9BSPzEkwT
oDJHiU8wWiv5YNdr9Ri7bozKrZQgpq5F082QmNp56r4gC4ZvgExryzdmfSHuK02X95/oJQE7KMOm
rV6w29YS2VVscp4XDNeXNxpzcip3qwIqB8lk6fDBhUQHU73HsQbKzLLggnIne0TT2g08ldq5gRAK
pIFZzuxse96RJMivUa8LTuFZ+usWbt/M0sxaLgqqJHAPN96ALVbjx9h1Jv9BYGLop9sCft9qIWXi
qgRzOpjnTsI+TdLxasw4yaptqKtF612cV8j4HxJXU+rTRkjwGR/LW5QAnO4w4ztKj7a2Vv2YFnQW
OPjEGF4P9BTwvvVH19kqhwiH42o6DvEOfBwmonYYMqRJgyrF1dwbmf3Yiz4nuIvYR2dxMiwwu9UB
BoRHlM4RCvAC621HM9x/Pw09hjcMskKU5Pdxa6/r4zqu3nhrAYyy7tF5HfTTCBkJXxQphHyvQ3Dx
Le1UEUpjjRrAX9/YM2TmHdJsVXlM8hF2lW79qAaRULbG5TmUesC4yqmLqHnJEL2b110pRtXTBA68
adpOITrNYHOGgLHamDR9gOpjaQeVOCaoO4k7eP5WiZmCYORWZV/x0TaOB9s2Qje53TnBqLTYA//z
ELGVLg9TvG3bWvBd2gofRecewm0LmGZpc3OgdrVXd8H7RQVd5++6ZJEJRG4bcbjypOYwIBtL7IUP
Rq7K5JpwhWhiHaExzeZYiQkkfNx9ZNJH7BNnPofMFybC1YFtMkzEhRIkUQumbCmas97QLdFZ96lF
Soqm9szRQyO14JQBjpe6+gjakN8JJqo12R9sJnPvYQGUnPoSNT8a7VNf5+ID9k3walB8htYUH7E2
ooDqpj4gTAbD4M6PERbKnXv03YAseLHJ3axtrJaOWFZEuTk0UB5PcIf0aohS+9lphPZOse9WpET4
xnvEFPyMbB6UvAR29zYIamkCYl25nNELgx1SEwRdRhYII0ZzcoJIXLlTmWYh154QbG31w+wHQGi3
LfIw/DIb0ye+pf/L3nksx41ta/pVbvQcFfBm0INOIC2TJqUkRWqCICkR3gMb5un725TUVaTupbrm
J+JEnWLRALntMr/prKrl/el8ynMyMx2s0hBN0TzeqAzrTmsfvdaT8aoXCk4bvR9a+wnUUVlBckyd
8hhVqeBa7OtaxlJl7ciQJfZ6OUZIytm99oL+GrI8wZhrYgDHDD5S1agBh1h14yEMIba45AyfZYj0
msPaiA1yS/28waBcMI5Zpco0zPZG+faaESoMJPCT1Ku2c1KQdGBWwcByzNAUrf2hU/CR3f0aiaVh
C62G2liISFG54i9WVEALM8i0csbml4BILkU0V1luVjGF1j1qPSTUP6aRC1PT7mzowv3ZbUIIzhsD
PBFzNID00iiII3E4xjcL9JHQexAZoMpsF9d2VIx7KES2OKOUKKNYTGJlRt22g0jifY2VCH9L7Wm/
YBquY3qFLYbdsFgKihDa5CcjUMQ+MGFqEjjroYzmBR4YrbVT66gT7s3Sx3qVHG3gJLzPvJhyHxhG
q/JRRUaQec6RfWeLNEUjs3iYe/xAKEwZqGlYGt0nDb0HbFPCIaFX0+gOwLQg+nG7xkJEXJpDRc0b
O02jJgq0jVbGm70t12OYpymRtcoIpC/h4pR8wX+XP01U0i43Y+46XJdazHvpfhw7MjSkMhnJYN6o
5dv+2B5ZT0n/nA9jxaS2HQdfcTQm2tpfhTtG9MOgA4Aioj7LWsgR2yYmSDdma8q1m5e6V14WoxYh
MRvlnasNB/5AYRDUjtXM3A6KKHhWubR8BLUWNLzwqpWhtYeOhPgEdidpH0UL0rtYgVmvew6XeTSN
ozlqfYa3lqWzzuBUyiQQmB4ZG7BCOSGd6RFekngyz/1sLfOFgWwJMALHmyfAWrrRZI8i1iYGJfwR
+XSRKog1uspt+bTJ5GUEBj8zYncpPQKDKYoQ+VyXUWPwVUTO0q7RjlGmZ0MMDTb3WKSrPsInMemI
iNuoQ+Dbro3hbC/4aSm+MmqMP4VzmXSjsiSjMGjZMsl3vFYG8hGgQnEOuzBi1nrcsgjX8TpeAAC3
wqJg7nhYXd8x6vLEXbSGnHffAC3DnZr8geVkWzyeekW4yKOy5ky2dzXOL3QpSmdi6e/oiNMomTOX
OOrH1itFLkOrXClgt6LaAhGrCXohOrkwyrHmNUGdznJJOqo7lteqOSG0yoAsMuO2PKVnIEfNkVuc
bDmqL216UFKLakyjbRiXiDzCRV66PdBRLd+5dAi7lotNMYkPAJ0Kjk7AxxV/xjP7lrMqbUoZiUpc
B+fM+CNrREwA1Om+AXbMIUXAP9h+N4yczmsvEjIL/JFY5OEiX7papnGOfHbZTBG+dxcyXlO4KQud
JIk2pT/GZcmUJtogX31ALw3ndGRPw75fozZtoktQUxzhB5eZFQWRQR5YPdOoYBSQdUmCAbmSdAvl
ztgos0ejmmSGjlmNPDkwiZCBbqFlclX+uzoVNSNwCLAPqVI7aC6+q5jhJwADwcvHpynsZZ4pAMXH
eNwip59j+zi0fN4/PPJ9NVA+kvQUfTOg8C6B09vSGK6Cpav2dCQte5Ql6R9LI8fOgavr40/3+6Mk
AEOHW0kVXMIT3j5KR9AKFI5RPQHtlOcTbvUG2kgThzVn18fPeq9m52ia5B0agODhq/5eau9UDYkl
et5Pk1Ggk3UxxIXOSrRQl2cbxtBXuQsXu+LQGBCMoZ89iLxxcx/oNHk3VQhZrvVIeeXZ8+Nk/lnQ
LdtIpgilY+F3dKSBOvLVx6//21AZgEQIbDVQKRqYEfn9fxQsJ1wasRB1rMc+0SbegwtKpoVcrqRQ
/+5R4OwoXkrTGO21WvluzSnUehwwmsZzPjSytNXMtZx6TpqQq/7jZ71FjMg6LC0Wk5mhNO8CGnm3
2HQE8rM6sfRvkxZhCvqdVAr3031YD+ziCEIGJ08+23K3ffzg9+P5yolExw/tbFQwXfvd0kNnqGtR
OeieJ9WTx2Lq5K74FOqK3NEfP+odRkV+SFR6qV3ZECRpM6nvBjStKi0bhV5863LTwrIjgYlzm+s9
3RTMXiO83K8nbwnV4lgliMara0vElAPSzpHnW5HTukE+Ig0L74QrmWOYfiykXUKGTpw77zgaTWKQ
j1/6t4mxXNywAIkzO+rv3G7Ny1woOWr5jFRhy1ugbEukIbSZyOVnWhEWAt2HPw3W7xMDqwUmG1xk
He7f+wZLqGA9XLeW8rRYSKognuFYlPOoH9QxZmWakZP97CjoZ84jqpry6mzaVsYi5IwEMkmxjFxh
qHIs/RP+P6m3MVC7mC8s5FP+eKj8VtI3GG4skmw6QRDu368iMo5EL8k1Hr0YOdl5F85I8t1piyNv
EzuMUOD/w/i8b6GAcdIwc4Inzh7Vf4NztU1nuBG74hGBcrlue3TBlpshIQj6FOloIs1B6JEaE3fP
fP091x21vSYwKKw/8GDfTxRdUwvlXNlV5WZCTPbtiTSW/SRGLzK+Ur6jyoK6BwVdF7wPW/bjtfh+
lHVEBvi0Brx4hw7S+yWRkUO5hpZqX/HDc7LLvs5lFStJKWrscCyTCdbHD3wLt+UoQpiXDg1NXosO
H5XWtx+tT92Fe3duv7YlfSKgAtjUEBEQP8zMa9g2WPWhuoSiiec7mYWK0Z9Op98G1+a8h9MJpRfh
B4DPb9+Agkqca7VTYgynzlG5ppeFaSQFwtjDWfY1whdtLLNIdL5lqPOzf6QgGkAmXtg9KI/9+GNw
CkBojBEbaubCqwAwk1gvOeQVg5Ab88EucI0e6MUq0bKeo9YZLRlXCkRGRQWWQZUOLAYXOWF77wzU
WTUQKCN2HhnV7LVL3qv3+4TWsotnXqbINKQDRsO9qkgBPzouUAKZM3AUpAFOZ8houEajlddyfvSy
OrJgbhmI0zK/SAEXy0hU12ReGab4/FDghPjC+LtR2lLE18UEZeYiLjF4PHw8/78tOGQAgIvikOBB
3fptaQ8k4bGCbNdDFTcGR2tU97Ja4C29DJZ/dnc+fqTcLX+jrllyRCXe68mHrgWKwe+AAFw/c990
7vjgRcBZjfWQYNd9iSqInilXaqfyBpJVNlBvmCCdMBEweOXbfPwa7z85JGJ412jKgONkz722v/8R
ZpR2U47MZfyQVXQKDknR9sWtno16e9S7/g8K0e8XOaBU0JsUVW2ESlAqeLfIbewGkrjuuq+iQQXq
DtcVuSzgisok5OPPJekG/xxf/jqa1yhRo/BACAXm/+2GisZJzfNS6LclmlBuEFLp76MNggwJRaEk
HQmkVjS8C/7PobbJupwshLaoa1golNV0QKhWUh2Q/ft6xPqKkttiypw2ibgScTxjV0BEjmUFeFJk
xcztUUyL98K1ZUcFNBY/LZAv4MMpmUXYFkWwgDlWBAq4FCA0kGzNXlE4R/MNDMfIvPx4EN6NN2OA
Z42hsk9NvAF+i0MsKN5eYSNiNBSpDGLDiq4emKuxosj08aMkteLteHOAWbDTORO4Fn8j049VTftB
M8Oza1avzxosugwZvhLyauKo5wj60XvPAekwCuVUyobCz69aMchimgLK3rq3CFO4uimb1Jx0eoE8
7bhXshSj1GPHVrVp9tZFNm4R+KS2sM7KkEpSgvgiGfzPHjmNVdlvVRDpZO8srrrwPVEVcsIXK+Up
ymvM6fyo4sG5ku0QxYrlTKYaAf64ciAqM+99m8gezM9uMzuStZvSHuTeC0MKgnCotWKkWvjxkLpv
p89x8FxyAIsDWLK4C3/TuW74BMJV6/A5F4Zzn7aQmDc6SIKdnbm1STssxg3dnLyL2U3yMKhNXAAL
PcvvBBKveIm5Qwm+ALNuD0giDnRx39yGlHo6iJydiP3YFeAsvfRU0JV+lqxMuO0taoc+bU/7Wlhh
dRHj9X7JjRQvUs9UZIHSpcaXhehMHMJ2TC3UIj3VREfYyu6URcEruMcmbvQ7r70xuZVQrUVd8dKZ
WxH09dysiTTzu5jIGE0znYZaWvdUvqtspNvda/lXchHrAhUDMNnD0qgaFLbWOevcz491XGk4Ird2
TLUv6rqtnpbleXSM4S4xjBgclKqYZaBQ4n7IBvj6uVK3n20To03KuMMOO/B0Q0dtrgGngsPwQSPC
ohzMQhzg4q370YPR68Zp+mVAQIYGU4h3Gxp/1XlJgZ6SqSkwSYHv+3j0nMx+Vp/0ue++QtfFmWaw
Bj+e8HDOnC5Zm8mc/En+4c0eY0GQpHGYWYQKUufpPZymolLqAGEvvzFf6GHq8PvXdl71OOG0qn37
h+X33zzMASgnr3liuPcRSbiYhHatV35DvqgAIzSpZ7CdercqiuxSmHjV+1NUFSe66eAmP372byv/
9WOC1aG7ySH+Hgc2WJ1XgZIvvjVlSY0HGRCo/IWhAXz7+EGvf+nva/h1SE1dB6ODowgX8vt6y6QX
mS7IQL9pY8WeMXSui1VFbSAB5J47n0q9CKUUiAKQPbe8GhGaOsm3OPHYCBT1wL4A69nXrd16h1Jp
nFvuWzjnlOB7LJEIXvS+LBA/7TXzhHpO+VIM6LqXdDJOQp/1L15KSWelVZpaY0sdXRvIYcQrxSls
Cp0ZbWsNDYmd2nrzt7SKerpuQ7vRIkt9VKGX+gvz94dY6B0IjyGRYQBhEOOC7I7+PiTQFKebTED1
38xBDn6cGPHWwAh6Ny3TY6l5+YOheFMw6BH9wQbRoR0YX1gPH8+MJS/oNzPjSLCmhE7BqOcafxcg
aVlY0GmLnW/RQI+NynObrSYXHk+Ac9rSB8Ispp1T9NOwSpS6oDFaFbuKEu+lqG2cyCE2KNeLFpk7
Y5mpMWM9/rVIaD35baZcYqbsHGdj3pZGYZxpF+TXlcKkrWx6yLO/9BMdyrTqQt+pPecTYaOoNqOZ
vMx2mlwZDqKHqBdYuySq6uvC6nPpuNYNT3MeD7eo22QnpYS8sLInbdwYeg+22oArfR5xgUUFpUHB
WMST5q1EH9Etc9ImpWfInfjZtBT3mMSz+UWjARSu6M9Z0x+W/dtknylmbPHoJQa1yWad9zJOA90T
5t0JEaU1rSsFIfy7OjFmkNpNqV5po0SMfzyd2lvg6+sjiQ1IcWBhAcF77xAEbTNvC67O7+g/mAcq
zJCRwmFWLqjppxt6dj0nPYr632oks+6SaOqPSeKpJ0V4xubjd3kVyXm7tAg1OT517PFA4r4HA7Y4
t3duhANzNNGLI2+vwq9Vu8QiaIoZxXkV3uNqKCp0ORHcjOcgjW1rFwOHDSgpeh7q2jirB20FAyDp
cyG7JHSbSqWLLzM76XaNYUxX9hCjX4Bjl7lCtEEfVx0aIa9eYsWA56Vb+WDNrXqrMCybNOuVS3hP
0mxsdJTjq/LNjJRGGaRWUm+ikdvbrzQoJAWICCJKA7U23CtzjN/FmAJ3AB9wZwlSU2KR7nOvT+U+
LnKjRR8WZBkrkc6qj4Nyd2N4SQk6gTrVRPOfFmxv53nko21ZX461h/FgldQ2uFpXr7S9lAhptypC
mV/6tkru4dz0L2aCJBc89xQM/8ez8/v545jkCSCuKUMxP++PZEMHNJBNY/YdCyYVoYXRS58ARM00
2Jkycirn29INIXQb5WkW6Yiuri3qP1Hb/rsFi7wgYbMBchVS4btyB6DCDhdQJ/8ewgAbgtcJsZch
zo9JbvdILwnv3LTlsEEZJVzXXjg9xG6LW2uM/ej5D2Py32xY15RtGI4O6f6nc1j+I01bimEUWDen
3yNHtT83ttZ9wvhCCRx6IBfci8PVkDf9oUbQbp9PhnbZlw4XmZPDW0gwtACQXI7imCiD8QJyvrFW
LnrUn//wlm9zALnHIeYZUPN0MNMkle+GDHOQufAac/hOg6iJboksrM6n6D6vBnTFr3RbZLRfu8V2
A7e1qpcYrVdkTvA8HbeGU3V3lpdHR9UZs1u9NQeaidwCGyz9coY7Sh3fbEBG/Fhv/2Hbnuf6+//+
X4/fINoHiCe0yXP/hjqLgNw/5vd3tm2L41b5lmjx+iu/iBbSpNKkd0CWQrDwSv78ZUaHSSWhm3TN
oaOEiinL9RfbVhpS8ltAsyi2SEus/8e0MGBa6EhS8udkKVpz/w3RgiD1TfxgqVRpeS+s56V8gEkL
6O2WKRqn66bMHtHWrYGukZ6PwCVASFl2pV5UtXD1gnAK/bBhm+lFXqhfeiJRjWyyLrqzXpj90q5k
F0tf56zBekyhKGFG4X5OgG5B4fOHtKTH6NfoIpcb0xiR1oHONqMVM450EsnXdAwU24HCjcBZuB9K
hJTKfE4xcxYJKZmHu83RCtPpwIUi1H0Ke/1yRlLoDPq6JqC075WuEtuxEk7kqwjQ49JbH1MJFSnI
ZrSVZWX6Ocb8u/QTlHLAYxVStY2DyFuPFBtGyFQL5Fg7x/hlyRAuU2udM5v8R1wmakyzW49ldEIC
jnCXh75+vi1xtN4C+8ndwPKqZG8XUeNceXTLASTPmBc0ioJWkl3P/bZvMzGQZlNAiQsz29VkhZt0
aR263yDf0Lc3pTJVIUIcza2wfAAjCTTJBm2GrDPOQnHXcZFF9azDYIzmhQolCm6p1Yj7vjXnu3Cp
QCNglFtPe7qjE2WM1uKDmqE66PfgIprjaGn5ttMx98aOW6wR5Gk0EDDtcaQTUwfcN+MayTq0w5Js
tPY20Mc7L8XBgrgMGRMKy0gQoMmvYpDDUg8USvvqqbGztQ7VrNgafR5y51sTJdK0d1ZJl6YKPOJC
OMBIzLbCjwZ/ZMLOYtdUIdKlkRjcjT6O43rs08pHqU2AWtd7HIvwq6ktX/YmX5wwUR8XS4OsZrEb
N5LEulZLc34sUODUN15bWNuhmurPqOzGF8DH8nsQ8NhMqdQrfNzL+10u4kgN9Na5LooZ4Widy6gF
8IvVKBVlFo02aWJNjNlssE2f1jEQxuvJamrYoy0otMaMDojyTc6qMooMcJ+Bfo0VD5BOU6Xa92Gq
73tscQKqp+FXdkNLZQHo0hPdIJR+5q4X2TbqG/2MquCwH9vC2eg5KdXKK8Pus2uKZxUgbSBmSsUh
gEPsh/M52RNrGEj2R+DB/ch2tWNhUxLIYst9kOTtLcB6O1xZ3KVaYAlkIDp4iEbQhc3ZAm961VDR
ecr7IgyGJprvBgpCu3CBAOkriuqlq1rBZFqg0Hk9V1N5hWdNCgW6ShGXAC8e+laXSbRMWN3aUdMD
ovTKfekl0Zcegu9ELS/MP2VmrfuAYOutQN2vr1zWoROa0CTNTD2BaRv8GeSgt6lKk/jOtcC/XdS1
m4LQ7evrtgi9TWer+fdSy2YMPLoKnyFsUARq/qsy7J8xjTMDPAFGH2MiEOE5sWVl6o8AHL5YeWv5
CPiRanlCd9osaIiPoxw1sCauB/tmRDQs4rGZZQ9z+59b8YdqxB9uRRq3JKL/M/vw1036X9XLf6Fy
MhRPyZsr8sfv/7wiHexaoXOgSSGXLJgHLrufV6Tj/IWojevRKybEJMjlevp1RbpI1Uh2lkepHACy
zbd+CVK46INTkeGbbDdd51v/ws4ZzZt/ptjQkiANIXwqdXyBAFAkf3tFzmj8k91M6g56A2fUC9oA
19Mc7lMXC8ORYmKiHqDZrr1wuNcyLFGM7g9Zvvc2ZPzxCgiwoiHBZ9blpf8msK1Q3qhdN1J3VTtj
1m7ez16NAV62LguI0zpVF6S9Aq+OSroh4WVdR+mWfLZcj/qDKQBrxwHFFLQUFmWVVO6m98C5O0hS
ytPDtITkIQWKQABOrZ9RTuWHICWXlFiyr2mnr+W/ziaSWcl82y1AxArI/Mp6trwdphGYS+P3dkQL
r5yR4+srbrq2M0DYZmx9o7yb8UluWRO7yXZhLCGloBsX0TByR6QLBUIqqm7urhIXOS0rBdCMJMO6
y46mMpzyuBzWU4k+n+L1J9t70Axl3UXO4wLNYV2k2goHbt+0HaB4HkpXMdKQeSCmwm+H7NOkECQ0
Y7vOumKNo8hXZCzVbZIPN1HnXKRa+bSgdYEFid/YY74Fq+auxh6NT6Msn4vJVLcZfLTVrI7PpRkF
EXpdx7IbLewBar+2Ox62bJLMuI6KNPpR3vtPyP2Hw0VDMOqjw+X/tBlMlcfubZguf+eXwo33Fyor
SGKxWWhYv/EHMP+ikuHZNk6OFmRVz/z7QLH/AoENnowNT0kP+eC/DxRDesbz0xw2KODAGfs3BwqM
yrcnCj1E/kevAvAVDS3rfWUFWoPOnYknkZW7rg/tFfZB2YvtEsbTIY8aa4fmAnDWCnPMbzhkOUcL
w1DiVU0bP1XVoJIp1soj8onqZcbpAY42NM42tzY+h7VdBlFnOldxLrpPcyqSM3DufJsB8t0XtFG/
VviAQWV20gPco3U/d80TXel0B3MZMVS6flMLhq5entUaDd4kjGy6+1Omf6axnh28Mi8vQsfIt4PR
rcAvlpeVpUPoysMiUNIiPmiiG/dlUiBUWeBZEuhK5ByKZqixHcmn66p2822du95x7iKB3Zk96ScA
vt4VRCz1UpsT9ZKaI9LDojKaDcWPfAvuOrrXvMS70pTsRpvs4RLB8fOizjQcbbgS+Ch5CjostfFC
hQ5lxmJGq0UDEOS3dGtvPOgR+Mc6sFNMa8I0jzBsa7GLv40kABujNSAmJtisoRKe3TZmajerKTfT
bV1M6c7r+j4YzbHAkXPWaMDow5fKTcLrfojHU18lyzN47/m+bAfjFGWgj4w5ba9sI51OoHqwXtH1
ZNOEaDmqk908FcYwBZDznE0tcrF1tIyPEaHUZ2ZlvkP6EFNMnNS+KZ4hPZngCnr1hV5Ge1PitYcE
PkumVmXQWeElMufFXnGVfZ45WYBFELor8Ea3TSOsl8hLq1WX9slFb5vj1la9EFvquLgBjLMQOitp
dgC9ESprg97NRQ2J6y6aE+/BaexiTaJVH8LaHj/XYmzOXmgmlws9ncuxU+GDIVaSfAl7szumg5p/
Niuz3hYUVL3VCNNkZ025A987N4zTMjvJZRSZaIM6Tp6vUGOhaYBKNVFy37iEE4Y42sBSbzwMtA6U
8O3QTxczfx6mqb4KbTvfzdNgXNigXLZFbScPg+sk902NcVGJteWpgH+0m7imr1RFGBf6aFW7dqii
6x5jyHO6GJhXFl2+L5Rhj1X3GBJ4W+6V3tT6Qwna5bKJzGyf0EvdpdgOFigPdzml7Ni6zuvxQo9H
k+WItLei9mtKlv0jOCOUFOcp09Z6HTqPjTF+txq8mSJEV1cFJC6MBkNzQxPQDWan1O8MM3ueR6OO
fCUy9QfHLc+VMCC4dfW8XdRSPeGnYUNxwyzvYCngKsk0XfUqFjS8/FGxm8cubNMbJ8oaOEcEC89J
6MbbUvBL0ZLkt26iFmgZQH/Fz6q4SCMmccSTa28PuR3A1Sk+O0bXP1HLEy0S0doZWsSe8Ng+VGOz
BeIKUN52UPtM8jQ7AQLJP1lhvrPnsT/Y4VLuzayogq4estXAYfnQV16yd6wi3MxIYAZU0yZpLJp+
qjvUG5apqXwjo2a/xDM6w7WV3cN5mm4dopFTjeovlrA1Vdc2zvSAel19o7TTZszt5qJpASv7nrex
+rTYht2oXoLPzbdNfhJhKO4VCT3JbEM7pWpk4H3lqigKjxTQSlW0z0Y/8yZwLkd1craVNk5rkeNp
TmZnuPe9AwNxVavYMq9GZ64A4s/R9dJV2VaZ8BdZzbPl+K2YbA/BpxG31nAmCCLkWCFbjYK254lb
tDURKMvxpKJ6EDUcc7RcVl7dqhek1mhBl6G61jTlPkUC3l1FEalWknuIxNjQOj0gjX6uJF9Q8FH3
udqpa5LWZqWnWfWU2zE8rSr2Tlbh2vuus4jJpGnwKemVLHCc0gcQ3z3aWA5uU+pIN2pnFygDFIZ6
JdxK9d2wWKAXubm9hnaANRq3xtVixvEXVKqSY7GIr+B27B034oLfaieuushE4pQi+bFL7dLvZ8U7
4gnW3vSoDF6mkJ7ulDDJryg81GsUcqON5lVRsOhxvba6xvhCb1rf2SjmrtvQrTbxlOrfFycacLL0
6kfTaOTlMizmPfX25BbKmshXKBaBREy9aDvA1oUYF42+ooXxjYbHM8Lw1AtE1Eyf1YGhL2NrCea5
r9fdpLsXLipoKe3FKr5GJGFkoZHtewqwOGZ2gDgVGcO2TKZeEjbr2xzPvYQ4dw23brnJhGGuawEV
dzX36pLCyCjNlRVNG7upxJUmIv3g0Un+OjZ6FowAM6G4ct0mbPGLjlrsDgw3dMGsab2HzLaToChH
9T4P0VzjZAKr2+vBrNvWzTKkynMNHPZQ966ygdTcXSPOke8tUwk3qHR1p3we3VtQkeFGUxv1cywS
lcc5oeLPs2JvDKoRV+3cPJXdMj+ry8DxTz90gQ48mdF2MkYtWGgnrRCdvMDJSqevV7bJRHemGiEN
SnkBNeFES9STLE1w96dpdB4sAhH89BpcrUv0Ik9N1OS7CrO0BJtNB53/pWvpGzih27x4bZ3tRR7r
K3MalWOi45PglsUNsu/ZrreGB6u1iOurjmTARXTsKevtBwj4j2o4vMAufHDxoy21hcLDMgIsMJpi
35bOvIbkedabqD7UseOcRZ3pWOCN5TPydtMXmBwPrihthaWegLjNDjUkCHU41E3XiH5Lua5Z7EtC
rTKyV9gBoAyfwFQ31xJjdJx0ywmGcRrcm6bH5+u+s8OXIZkNl4LQyMQhmaTD1hULYr+Vuh1mop5t
EdfVZYKIQPVQc4ASe0lq9xRmmwYad3HA+hhHB0QVAoK87EKL5vIwtInzYM1W85V+YZTehLTFL5zY
0tozdqdxiNFxllN9nLpxgWwYoav5zY2nTrm1YHBZKNGJsFxVSpJhIeskRlAq6ryFjVNuhN19QWFr
hC0T5YFKYRG5L/PLpOjjzsZC0J+LHn37qpw2Xu4QTmLrl7TmkUwHTTpVqaxVhlr/neKgdkgsclsu
cb6OaSoduEGUz8jCR0fk0zQfXPB8RaGsuWqZzcPSUwqKk/HRzLz50Hq2ArdIGbZaOc1Ih8pwCxOA
YeVZRnuRJHuaEHBz5kBUYQ8tGjw28jvw+dCMRDfAPBULYvZpo0T7xYT+inlbeGgLPTn0anS0tTz3
VUerj2i79cEcOc3XwbDhD07WvE0akWzg+XtrJSLTbnETWI+hWdOYi2HK97ADfcQ93N1A3RZojY7L
BG53LyYeqbNfg6VH9BmpXO0bLgO2+6VTBzo/z4PpYI5zGzamBA2AxUyK/D8Vov+vChF6QBQp/ucK
Eczs8vtznzwPb9otP37tV2FI+0t2P9CHocH4Whn6uzBk/AUcGV8f+iOmhoonfY1f8sY6usdEmZSU
fyVrvwpDJvLGrmcjbmORe5EZ/jul0lf3sb875DwE3DX1AiDumFepWB+9LctY+kyqCW94V5WRhiJL
wr6CLgd5pr+f7ezJBcuyqqulx7t08nyU0brVNM3ZATXd2ld79+wKF0vIHKL3NORH4Zp4PCg2YWlr
UGJQOHxTKr/zYFJrJf6gfVKoAacltrgQ/Tc17si+Zw/grT39VCOzEdCsgJ5rutlaa5xpFWk8k00j
fIodPJP7JYDfcS9yjwsgqVZNXYHJt9InW6nVIC/48UzjPKSX0u5r0d5rWPECkhbGKgUqvS5C5w78
4afU0J5Ey+Mh3d3nVfLCFkJDsUJHHaD+SUOWAAIbn8eup36tts29DesA4QUULEeFj4f/uk5MXqqB
UJx927r7qIR5FnYMDZab66gvwCCm2QtQ32ll2wwl/MQuUBv+aC4YAhOFRz4Cw6C6+yLpuiBs+Smh
8g7g9Ij1QoBYmPxWOyxg602Vc4Dajc13M/M0ukO/lr+ZmijyJd6ATqIuA+mZIahzo19bvbacoio/
eXMu1nnHI3MYTReW2fD6o0FdrOGFjNrOAjqvt1nnEXOizxJwGr/MZVMBcWh13wpnQohspjxP5/Y5
zBWNcfDOFB77tVHmyCcg2ENjCAENs3dd+ObU7Fpssc44nGZIrZINgQlfNjVmF7vRZfSMjoeOlrN3
NeX8ukgQgifPMJsuqB3WgTYbp0K4MK9V7zySCft6xj8K1ToJVP39KMX2lEzB22iwXoMqKqaD4/U6
3QC5inp+lh7kVdJplNQraoCOAJJjh/bEMLGwaNdBLrGsK9bzC4xRog/alqt8TJ5gNTH3C18h8z8R
NyllMPYubBXIwn5RMEoYCKCehGz0pdp0ng8h8v51vosI/xZBWOz3I58XIQtP0kOZ+obAYrDd/KBq
0QubnFXNWQ4MkdXpOiyVSu4FmhTzbR7zJXzgJ0PjRdh5BFM1+jMDw0WX64z/WL8eG/aJ44zhYQRg
chmTkkCq6e4dBMpQtGGG3YHF5LIbXwcD+xZBDsaP1lnxVCCUu8ZOtTlAvLHWmBXB+s268DCTTH4q
urT2adenqxGVYd+AkL5BwkNft1DHg6I1GVJV8A5R3F24nTJtKbEgOtGECbKNi77OHDYlqeIxGdOS
u7ZilSHXCBKzzC5dnY1qqBwEGMvlhLNRvlbZJ8i+JicRW1ev28tA/GOnaoO+nkw6lAM9wVWFR/NK
hXiMeZGXHaJYLbcTMYyk+rMNM8A2r3ML1kayXsujjXsaRwhLoKwbzzdGxuZ1lS9OhqVW3Xpb0oZs
PcOw39A6zANkNmr/dQHIFc4WPyXmUm6NmWPME+xvc/GW3es09wNOEH3LMqK21K9FqoWPkN6UnRXz
USGZEiYOmrILPYPTy0qeCNyYAi17If8Frovc5Br/isQvjN5DBF0LD2o7lEcnUacra7K27pg+IT6C
3YEzlscw0zNMUNgRiJsou8hin1a0FY+zE3sbx2aRlYVRHpXO4+lIznD2FhQiORy0hYR4MnHHyDsi
qok/po3CNzvD9p1eNQIY8N2q0bt2P9pAsp0SH+QpKVRUhzFQUZAqxGdB43AbmbpXeYZw0E8xqDN4
zOW8rXsOE9jswke1GGKH4BVQDmMXIX+xw+CHf2C28+Ns0r1JX79uWpHYglqCcuZvxzdWy5JoLfOk
z1LKOVSwVCc/59oZWUzNVNNlS5i/KlcDoHXlcbLN6WpwshfSLIYGhyL/daxtz8qCrOBPDhrzapa0
eDG+6gIFSs4Ksh6yBbkS3uiE8wHM0Hzrhs0L/l4rpxhSBLDojUYJ54mp5MlGa9tnEMcWwC8arVXj
3BWVWa3/L3tnshzHkW3bf3nzkEXfXLM3ycgeiUQiQYIAJ2EgAEbfeLQe/vVvBShViXz3SlfzmqjK
SgUgGw/34+fsvXauJRdtGs7EJmUrC3zycU5JfWZGTh4G+NpZ32CwALlaSQ1yqCrU19wpynFFzJDt
bgLf6DQilNvsm5nVcs3FLgB/rJufnDgv1lhGCMie4244Ai3gK7T0KI5WUUzIyybTmS4mddpfktjG
jgYaraAVh8ufyf2c9/qGyWPbkfeeNEboCqERzDW8aH1dvwHyfrVTnRFHbMn8uy8sDYokLnVFkEcg
SaCp2noblDlUHNyBgjytrOWZz+xRW8ccRWvT8KNbmBZK2xYW3vVzbqI8Yqpqd+UeWkmvPQGLGsME
LndxipLAwtFObpAbijkX6dkZ8e1tYvCt2rUaKB8g9nz6Uyl2+VHB/DlQ9tdxE3XNYj5h4oROijbO
0r/+k46qCDRT2XVL+kg6cwtRyXcYcz5bkP8JPhSAMcJLQjv9W9/gz/qtj3oK9CydGq7Ti4Pul3oq
mG0Tdkgz7I3pY7PjGbTS/K2akDPBi/z+1++Sfv6fpLO//zW0WMwCDAaQv+rEyS7TbBQhw76YWSBL
JRDkNEJjGm8/5nf/meT8zSQH+dJfTnLW78XL9NK+/3mS8+Nn/rgBkDpAhCcWeBsJ6o8y/4/RsMPl
gIBnELbLXHgZGv8xGQ5+Y+lyO8A+zRWBzI5/D3IIOMAnzpzHxd2M+dj6J4Mc/Ni/LKHFmcZgCAU2
2E7mTL8s2DyjJjJUIPazOydP6HSqZu02FnoeCQA5lF5L8lsj5ktRw3UKi4SiSvcCCGw6YtYxrag5
LWU8RelQYpmocjdEzTu9y97VltM9o4/HYKKI+0sFaWCFSOqrrbU8iig5tlWMLGe29HgD95okEj7E
dB9Rkz1kPQeepJN5LjKHa7w/UDd6MBPtxTTYHl1DzykJONw1r4Buk7RiRcOlvZFQn0BgWbTopZPt
Jl6ciSTbbQ6eSqMDLMH+WgWxfWQU9DXzhPaUFiXnj6jclS1ktaPrEG+a5YLS+F1zpySbRCm7+9GP
3xyNnL4KcBcRZeY9z3q+DYI8IbzQYmpO9b8Ds/S9YapAHGDQQ/3BjrRxGjQ/puihwin+ejKa964l
9VXq9bcEsMF5MykyDP9TNA63BnCrFdFsD5NQxklyCNCgrQia9KflH1jJ5/Jk+80T3ADG4kYvwYLH
XymwD0vfb7UMK/I5/yocaj+vrh8AY6pnILD6usE6s8ZSNGyHJRwK+kXIEvwkrWgTeaiNcqIMeQmA
Nh1+dSCktQN2pN9ZuaZtkf/Aw+6C4rHmMvdoSIuaaKn8RRxZW6yPkkEIrqBEL793qrnorq1AbGrH
HqTFSw2z8FODsAybQUSandUUm4ky8FJMEP585SOq6cXdDHflyc79T26X1rtaEstgdDO9lSj3Ngox
6j4Qrr9BsPa5UI0mGCFMn2M7io828F6PEmVJYEDG8KrpaHZDT+jWfU9awLlMBXl/E8xRLieJUBum
8g+WZsgNtr02WZu1de2KHh2PHxHsYCWgZXhyVhn8T2J/tBHaqhTBrhUWbcS4MQwKhLnGQeb4q94f
3fpsGnK4wfrXw2NrNeezB6Xkxi5d/avNG1935EaEZUoCDjqnvK63ht9GLePHWb8BJ+j0h5o+OEK/
rJ+/a5WjtB25vHX0fQ686bYwCSxcxTBNqABTxN4c+DTLM+OHtvc/G/3fbPSGiVz1T6fv/yeT3b3X
bfyzBuj3n/ljZq//tmyjWDB1ExW5vTgnf9/pfec35pIAHBFOAxb4OZXm31u7DoEcpwYuQB+wJTP3
f6D5QS70686+HDb8Mt1FFQt2eCke/lQCBWZd+VHtF3u4As9TnshV3+X1hoLpCb3pQ0svtdIH8eSX
xhPKNGM7ePOWAvLYz56/UZowDxYz6ENXBGoFcts5BENe7JDvoLTUBPOVMWi/z9HoruvE4ybid/pJ
i4vmK0eOftVwPe3wCQ5rCzpg2PhpugUzxuw39q4cHP5lUim7UV/e4Eye+G3QzCxYUJtOMxk8THZ7
1Pt24SLdYc5Hddnb/Sor5KHtPHXvkH65rr3JC415Gj4RU5eH8SyjQ4LzeGVrxv2kLGdHTPAX1ybs
CY1msfPKIrnt9dS4ySxek05iwoXuUrtxmExeUDJj5iseB5rDg4UGdBa4QUpvfAH/T1PGGqd1S8f2
W8r5cZOTfsqJo0AiEkWxcxjvbWBnebuJCOtwsguScy3rDWCgtbUHM1qnuWsvvZUXE2BlCKrymAU5
2acp2t1MEVKjeli3WPQgTHrVtRTdtv8wQ2h30ZIgMmhC7hsrmFbSq41r0JjFUz86zRc2+m0ZTPec
BeU1R5GNccFvh1XmMwEJo6G4bUnEnTYmsTGhqET+NKg6vc+thPZJh63ZsiAnkT06tg9cBqIHqk3n
xs5n5a200sElD1iaMr5Jz21dTE94irq3gMSgR1kSkk6M3zBxifL8UzIGBKhMtGXEAG/am/AiV4WF
TrkwR2ffW37z7KUZMt/MG4vHKq9oRZEmucM0ZJztCpvACuBlnQPLbdqTJ0x/jV/J4MMLTETQyYCf
uDObisM7IhVC1URNCE1xZAkAFYKZb45i2CCTjpYHqdwz5R3yXC/76pkjKcYyArmA1CN6zMyifiAK
Fl5UmdYPyBcIMXUl0c1TFpwQMmRfG2hF9NwNgp4RSCmCZDOkC1yW5WV2RpoxfY5abcCZu+lShNpq
gihg9RNuIge67boVPonaulU8zikG0nbwrINmWUMWxqj49/GC4CECV0JzhC6GVnTRZQPL/DTWTnXk
tpqigGOgswYGN19MIrYfnYFG3N4hEj5biTmer+hneI0lcMsrDLj6Bso6IdsWaRgbNCr8QuqDRKBr
J2hjHomIkn3ZPCc8f7sUIzmTXGYO6wjWCDkyCakhjVGl55kG5Vsq1LgzBqt5BxEsL9GAAe7jlWVR
1vjbESw40DG8Z/cxid9EHLcORLso8e/tj/TrJVSjKBP7WDnV8KnLbNIk3dmlPlzeeG+V83VGPvvZ
kyX/x2LRHzskSS/Iinre6KCcd9lkZ18/Vho1IH9NxQEadGM2cfYvASPMT+u7icTOZJXEGYlPShSP
djCZX6ZKS/H5lrZ3z1TPPtR5JK+GZODettQ2ZjwAZm4Iqd0OJJccaYrxrZk0N7bFRFR67yUpU/ja
vSN/bL4RkWFeIz3zr5OAJZWwIhktBk70NTCpO5lQJoQ4L9FR2ujzF70ZO3QREyYHCxhRlJvVD4wm
g11NhbH5+LbKiXgRQCOk63Z5RASe0Y8+Se48vTMhBSdDdHZEC5CCe+3G/PphYaF5pAnQMuAfqY9+
Gtl8aIo6DbtMnbsqOY8U6vAhP40CK8Do1F+rlLE9vqYw8G/NfrjTp/iSgLJeFXCQYXR+d6bgBmwI
BjiNot70rrKzttaY7HpXPcZtR/K3Lv2T6/ILm8hBhaitzGbG02ZW9bXnHBtAgNbM1FLDvdpN9rkD
6HJ2R/bw3PDjtYv+OzS8yg7Tcj5j21xPEnBuRIp05UUXo9fknSHNbOvX8Uy70XcTQrxy+pbBaG9m
WpXALVGtjCO1Zu/nIllrrfFWxTIchfkuKrhigpSWm0wtOEKzxMhmOq+t0e8r37nH1EJo1DhYd4xo
o2ctNp8g/b4CQEGOUHXlFldfj9alGjdaaeEA7DChrszWHMPGdeuHwbJt4GyZeitHJzRVgsOUKeC2
6eVDlQ3NMfDynQXzHZKo4gtOXWMrxRCtsmnOT7lrfHZn3aQDLA65nMsDSW7WfmITXuv+0CALzeGO
BIyDY8UYt66fBRaDlYQScZpz3Tu2LPxdNrs6RWP0rBulCOltrgZjRiXWXJvU995Tk1uTPQn9q+dq
yLDy/FNvdNkLo3fYrdnYLeGufsjEsFtFXdAfbXRQ0CyVYj+wxmIfoy7CYgIvJ1S0d4LoQZTdWzKT
uaxDxz8TAzY1GyseU5J6ehPRENjHYaNGk3xxwz0X7Pn3LCtEO25kXPDh2uh2gfqEJbivfV7lzdru
kMN1htm8d7hmNzSTD3NJsonVNC8Dl8u18KH+Zsb4pAM/DPWa0z4whbOjd/aK0+hZJNZOn0X0eTKa
eUVQyLhyrClHR+9ot63NEHSuYI3zGFK0V/ET1MyOXCFr3WNgOzEriTcUCf4bssrx6jmp8Tmn6qaG
4BYedrY7HydgMKg1zMiHjjxmnzMPkZDd2eV7x/3ovaeHRXgXmdAMfqJ1PWrjljN92uYdPxuX1obW
l372oqy+R50paZYJKqslWX1qWv/cjM30tYLZ+3UyDevsousKHSoscsdTtS54itjJ+5QEy6RyRBjl
pR8sbs74NEqETsfOjAy5wnXIdC0Qw9aPRanzSMSPvSu1O9do/TC3TCn4EtHPkM6pbUZgGifPaW1W
TEWfEPAa42VbTRyDkgj4mrngEXYZN0DhlIyuRPQYiLS/TkDQsw1oY2ynfVBp5z72nQOVQr4z9Fps
UolVhstbbW+SVn6vmA3cGeBOPk9tOu1RQogvsIKBKbMXrmO1pMB5E/1Xm0wZ3VMAd6nCynHUjnrN
BtYYptjXETbCpu2zMCOre1tzJeZlkcE828U3r0PY3LXRdJe7mn7bRlVL97Fud8KkJzFMeRRSM9zK
Goappu1iM0ac5KvnrG3rZp0ByWT2IFpuzLmxSuFSbEtb78O6ze0dyPZbQqxoFNYax8DAhdYpuvGi
cmq8nKByTq7Rv5snUTyIrJv2RANoz/Tsz0wku3eSlylA3LnfBiBqt0MRNdh2Ubu2bZquh5Zce9wB
5grIx5UTtL4D5TlA0h7mVYdn5tFq5E5OMl53lnqYXcs7EyTNgM33s91cGTtkhQjDjHYDtCl+x7aO
UYkjb4T0uRlJ+tlI2NbHdDQ6nGpddGAwdEpjcbUjx1mjfckOEKTlTZT5kITXGShfA560ugY5u6tx
4w2MIMZNtviIml1eAv28h0MkuC0PS3oab3jJUgs+gtXieAlZy38krnkg/+VBUv+qk0OpkofZR0Tb
vKS1yY/gNudHihvnNlyNErGUuUIyC8E0QTU22iv3IwSO0/CLJBYOR8+4LT+S4uxheoiW9DhjyZEj
brGm3eTYtz0hc0JZ6UY17jUNgOlmqqepsmTSFcip7uCpOt+6JbEuW7LrjM7ob6clzy4l2K6NZ3Mz
OeZ464+k3tGfs4/IgSZ2P0LxgiUdbwLzeI0pVTagRKz1TIgeFuaF9ztkLwSiz2H6EbYHi+ZYauTv
xRnc2Fx0VYjZT4bRktPXLIl9skePpvuMSTVEhQigb5RFoU1O5Ztn0s2xRYnC1oB5UNuvCWO4NfEi
wXGOFVGB2UdsYDy3/Tfdnvo3cGTZaVryBU2/g3WwZA4yYH3QxyHQmYGPikjCsc8P6iOoUCl7Ptlp
i0hxyTEs8Lzddkn5ygUURmptomXGJsAoGI1fvU6JQxRLLmKvifLNG5ewxAmK6hYyxLht4Rk/U764
G0gS8tpHCO6oga4WgVF3TOnibmXQYznSCEVAuaQ0yiWv0V2SG5EzVyf1Eeco5r64yyvhOSEEn+Rb
JTqiH6MlBbI0Eo4C/SMckqthTR1QBP4bfhE2jjF2jGu6ZEoyem+e1ZIzqT4iJ8eP+EkXfgnRmvpU
faoo+jeOoXykh3297dgYN76hDunMqLQBd8ABrfJzinPj2QCoxizdozvpVAlTZoxjNR22miUUU5Rk
tQ8Mp0qD/hNt2DaONvTqKmXR8+EcVHMIq1gBykGNitlPdOP3pCvLvWf16b4VU4MYvXrPJVLMbo48
ro/dKW+HkntW61/dUh8vcdI3V6SDap3T7EMpYGvo92r6W2RJrLPAj468sM9c/KK1FyT1Fm26fygI
EvyPC+z37OC/6/pYrsMI538W+ezp7qfpn7v7xo8f+b3pYzg4oMEXkh71I0+OTv0f5mhX/w3OLEQB
2usfXfx/9fdN8ze4K2AySI2yPwwe/2oCGZjC4EAxQAKV9Y8FPs7PczCgKsSXIiIFu6ljMSP07ucm
ENrYQmVA+B9QaDecOarsZuQMzCFCVZTBqbHj9h7VT/uKXBKDcZJrV4oLcCm2Bj2pSElkLTqJqIRA
2mmtuVgHAg25rByb507X+T0sR2QhS57lJWuZcSGNd0iFTGS+HUDPbBpEMydTA2TEHj2RTJfPu5rO
+VVlltoHiElXiaEN75XS8GEn9mTfaRzGd7IqECMnXT+9kEAzv5C1M6fUVHxsYRKPXHvbvFVbbsDi
6Mxa8w1LbPYCS3e+aPmMmIkC8HluVRviKss9LsWqfx/b2OD+QkxljJ38Pk7ce24gaboCmm1+Xro+
+Y/J2av8r/i9/m8mkR+jxn9LrD6+Atf1Pb5VnREdeO6fv4ISmFymRZ37oForODjW4GwaU7bki5JH
TP3LYAAXmVkGF6yy5gnnBG+tcX0yjjGTcHtMgH6AjKoPgRrGWxU5yRnnTf0GI0T7QpxEd00WKomT
ZtktF2oD+epyk+dK7e/iBNXQ0Fn1ne+3n3tMv3unmU6IMU3iPc0dwoG3TODn+NND8t+86SVL+0+T
Sd60vUw/l04nbVWbSeXPb7oBHRczIYJyU5fRs7F8+zEe7Sdgq/KiQS4l2sVqD9Af0VMkVI+rkrSH
bcdpgo5M6t+a3FiaL84k75am93GqLechmvlvAtzEOzkbxk2MgPQuGVx0JyisL44fPdKMMXdBSqsE
8vkYujl5yykWRyL8Wm2HZNpdz3Xbb5ResqatXh9vdGW9Ve5wmlrT2PdD5OxnRFo9vnNiFJEGbaSD
Ukany7B10ueiCaCQ2/X0mibMkYlenl4b9usD+SntvkV0tIoSCtJmHLZkhckrD2V+RrjKw9Tl6T63
3nSGAC38odbt1jmKtBufIxmTki+HdZp2AopMRktMIXEyU7ozXlXJK8B2/DzAP7PbMrHEiZQF88vM
tO7dLygjEHNxV2d4wCRPKvJVK+z2+0A26Q14Tv02wldy8StjvHWoVHqu7KifNiJR2X5ukSiFCFrN
K4xkedf1Bh8o+TZbQHtotZzl2dRyhRZr6r7YCV6rAILVySYoINTplP0NPPKXPQsVIv4axnfwYC0G
94Ctfl47Zow7Ih497Zoga7/vA+h2Gjb6x1lO5H15SAUBnbJ22lq9Tqavwq7HfhLa05y8ZU0tz41r
RkfR6+KLJ2ysDUmh7wQTMxkssqXBLT9j5UJVMrZOwWHOIKvguz/VEQmbeh+rTYeKHkVQbV6lzv1g
BdRukTBq8629CHvYruYtASAohxtV59zRm97YOL1mblB2Y2zJ5CjPKKXU/ceybTKUR2kK8qEVqHWM
hqFOXfj6k6+VHWQwo/tSaUqgVEuZXZZNAnOIm1b6rdLznahbrQyRgJEkbA2Du7NnxTAs9xP/zteJ
cNv89aP7Ifn89361fPzMm30QNFgMl0nE8mj/aW4wCWQpsWqjq9k2zHB7wzNWcyu0h0wFvAMjM7ll
i077lM0pFCNHNkFzS4xIInc+EEGu5jyDNIUKER39fGxe8tFt51VAScTEymijZ9pWvJml53sQ6aBt
//kbwH3Ly3KZjqOx/WX9VCrvWiNhylC4DF+hIcmzaOJ4K8iWwxZYsc9EYmK/MGH/L5YMbYMOr0Hn
rzs3xoTAnmcPfSIh5S+W9AxsXRKNitkM0VYUfvSp8ASAuqSKuZH+9Wv/JUry48MnmxZXJX3TwLR/
fe10kNNW2ZNzrQfHQWbaddF3VnPk79uuLQBQp+o2k528K0CU7PrS5x2YVeUefAKnj3WJNmyiJ3ko
nKkFvSC0T8SyBLtgshk+tmKo7pTfQbI3ef9TSaYTQ6Gp+87YlZ5KkNrfiKQeDrpS/siVRsnLYE95
tfOQ0iIDctRKLg3PfhiiLyZZqHtce/4RBjBSQqQO26Kz4m1TJPK5dSu1a6cxovZO2o2qvMoPe9OU
7wAd2a/ArjBT7RrT2CirwUFT52QotfuOHAYm+XnTHAqbjlfl8ahTE8jLx6MXBVr81pKUDf0j538c
6J8dlWzNK9cnWuVlhsCOtlHypjed2mZoiZ9ZeeM7xrFlB1k+msyLjkNaqVsbM3m6soF20Edr9dUM
JPCT3pgKGwga2yevzF6tusTPECfyACu3C9ulMajZXBMJr+zWDg3ZM/oJzpK/XggUiT+doKwEtB/U
DHh2nY9y8Jeygb0alSNY1Su38h6LhM4DtvrYm4tJ0hKJBBw5bHbpCndGvKUUa15cs1eMgdiTNnHZ
HRI4hcyus+IoUlp0q7nU0zwctSwt8XJV217QuVrxJOnfZsBsnxdE/jeTy/77kHq2tkaHXnrrLvFr
bFWUY7cjmZAbGGMz68CukFgUVhEV28LAerIKgFftfW5O61k13kHa5Wf67YbFq+zmItRMUo+Eq93T
CZmndTfowxspcGyRebUg1pAaS0N1O5undu8VoHdW+vK9NlPafwHws0d7wVBFmqnaBNb8xWga5vQ1
niFeT0LETMYDga6DxZqZnR2SheG9wqcr1y0xZ8fayPS9CshFouWgxE7RNqpvTRnZQYgXMHnkHEgf
Oy3D26mayUIlkJbZl44RA1OOXLjxPqFuAXBjsRusOmJi3rTAM67aOC0FTivro+4jH9HIJl23XAxj
IjtR6TJ/QdTYDTlbXkFSoU6a6ZIKH/UDjwHuHRWFvtvZ9rpASPkpjvvuEOk2p44yMutbQmLsHKKB
b/Ibre+X8ieY7+Oe6L2NohfzrSxq9tVelEin2dn1UKvQjcTOlB9nFgLtf+A4N+SKJHQbwTM8GbVK
fdbToO4zYqWZp3iZvLbUlnsgOAEAFoIov5uwZ4l7UdoGNkaOPpDGLl6cVk0bRJ54ClFiJqHbcrNF
7MAqTAVV5krG7bpHfMlFton0dWqp4jsS5StX5yINHcrWaDURc0frMC/PnlcmF7P0JtzF0GVXXTCr
+48H6T96hr+72RLzwl30f77ZHqq39OUX7NePn/lDz2D/Bp6PobfNXfQHTOAPOYP/G12rIHBJSv+D
7cWNsU/+7/+xjd88B9gJSgcHMBgyiH/dbC3vN49/sfwYSjPEbf8IQWDbP18xuFIYYFP4bYFjIbY0
IRr8VKcMZpekKpHaIbKUXFuiKF6cjMpxNaChBWfKdGIEWzRTH5JVNYV5TI3nEgdzq9yI/EMDKgoC
+HR88wajvFOM774GeoamJyY9iq7NoJVriROMhqSqvpYORT5aC/OOBreLEmFsrVuG1dSfeVbSU0Ma
5TJU9R9A+BTXVg7jnT6+lHXLpbZL8see+chznadktaux4HTM9Ua+oDkqJaApjT1Vs0gkW8ugsiRX
EzzSm8YV+bdEywGOWG2Jtng2W8IXiSdimiSAAESQ428X3YOFpguU79ppTd/eFDUC2ZD7JnCRzM+s
nQg4JRZbdnKymL37G7JrU8b7VQF6JNfy+rWhQfBcU3GfB9Bf4WAV3Q3qvOnVL8fqmfLBKUIkcPMN
WUjifm6y+IULpAlswaxX1NMMhNHBuwPVoUz9ieRTWV8cwkbRM/iI8jh9Jm9XyDQ/+xaRpXZh4QaZ
Mcp19YEtYogBBgzhWA3cjWwSmc3UuzAFDcxVZpWvEk01WqnSv5BB3uBNzfoHgEodxvuOxLNptqBC
NUYBtTmvjk4fe+sMl8SNT5pBdFCdIY4j0bU0GWOHPQ4TrHfy9dKsQhIvi0ciE4eHwcaJlw3GpFZD
PhpPqZdHT70Gj6yZHLEB+aadJmVmyzXMJZ5qtsNJRuqkYmP4Qh5yI0InKNvTRJDETeL7I57TgMDN
GOx8DlHUTu5Guyo2GBHIDq2mQJC9Z3jjbaHJdqHADPmLWKQecScZfCFAZ0hpZlP3FUM/5sIpEni+
cQ7EaCmDythT1qfXpMmtL2ZcpveBcvhrXMvbB6NhojqIxL4xTBIFUU7UyV6zelq1M+MQsx/FHj4b
0SJYmUMXxtyzVsXtEVNG8D61k9cS/ltCNDUQtqdYTURwDTIXBSiKmhpDeGy5l8QmCJypBrKeVQA+
69Um/yxY7ErUHzrK+oBuRChKjjW+x5zBXZdcPJl1t50xJ0ePWirYGNj2cUxW0NhcvKlrlmv9ybeE
fhe3hAGvNcG/N+rYvhWjPdRkHJfNOau8OiXxsuQpf5KEwSw2dkLRbT4ejNU6Y1kcyPxHXRlx369k
MM6Ze+3ICdaLE+GhkshQvMY9Ro5pmFbRqPToOk+jNR8TJ8n2YnIvhp/lwNY9hUAGLMnMffdBUj2O
mw6r23MUBTMqPIIc195gB12YN2YdVmXnPAwQwnFlp0YfLupH5nmpfrbhcJx6h/G2LcCpd3XHYBrp
JtQlMEikzLAUeV6uUSfRZaTMuz/LaLLKkzv0OsgE4mCKYG03atAfbNVxVQAnTDo6ukOh7aehfbQL
UB5a7gf5WrbWdLDa8UiiqXtbN027K3sIBQU57LtmKOd7UfsmTZhC4Elz4oM/d8X91FrttZgyGdp5
hlzLCooNDqdyDdpqVUbwrg2RnDF5Ac3tl7tyehqzIxUav8nSxG7wIpJWU/PZjRKUjJl2zDJzNYDS
WNEXwwHkalMoUTY8JrZlH6KurUODj4VcPL+7S3X7ORiaeI1yK9iQw6XdZsqI9vGyW8+D/qUy+gYD
BNO1fH5ru/EGA3lBAqB+Q1pPP4cQ5/Wt3iWfpcWYvsjqR9+bvUPpN68MO4sNU7WrzlWeMUvxGFvt
nTtl2aUX1ROTMrkiSwi3gL4t9fphXFILS+mRXafP5Uqf8nFtVoRaYsZq/L2XMLWZ3Yqky7ETiJYS
91akRndsre4G2gAMwMAfd8Ck7bXRYXqAF+XpNPHz5AgexE55e416xj7d3QZysrcuEyiTZXTj8m2f
9Lg1cekM1VWHP7HTnEpbrv2sprlWZ6J8s4j1Q6uJHPvmXsxzcLVUiw4ZRnlxj9lwunOD9s2rE/2Y
p7Fxo8C1brRu8suwcSQoS/iWcJl9lt8nmnHx2jEc8pakY24UOFwoUfF8LiSDy3k0CMbNQUxpjt0x
eE7vHUwhPBJ5ElJZd+eyzSFVwdV8GIsounfMCMrWQCPDqfWZ6ch4E5A3u85Nso0KGb0knS7uzcab
LqYM5E0KZ+vqpkH1QFJlGfaWe+zAdzBCYulkmv6FoHOxcjT+kWQywivKKzVz73WSwIF8avBQodjb
0t4NtsPkFd/dLqrO1KndoOjq9Tb3lHbo7DN7jHYCJOOBpklKcUV5VqwFCZs3MGktPI5msyPyL3m1
i4JnK6g7/H75cGURFrjT9eKSOZGzcivX26Su6taGoV889AHr3szoRynLuhRkoa21YW7unMn46oyt
uxHwfh7KgMGn03vml762xbabsDKyMpIc4c2ou6FB7DoAErOlcLbcndG06Y02ugGBqdOMkCWVB7fn
iCSb3D1oWGmM/xg8/lcub4NeNZXlX9TJ9fTy0/znxw/8XiQH+m+G43kfet8Ft/V7hRy48LvMxZjj
GYEHI4Mh0x8VsrVAukgCQiBMmhlDmX9VyJi7UQcvt30upzbOkH9E/bOtXxTAdBDICMRHsjQSTM+y
fmmEQVXox8pL/aMuSnmjZV2Dh9cEKUeGx1tZjerAjNdGNV/Am2RPjfKzRSrSM1l08Owir9MuBhzq
eJU083ixrT56zBWP941IpXxN+jSLAQTh+Qyjiv0/FFKhfsDAsIkAJz3O+DbuB7SnsKqwV0bHJPOL
t3GcndMoBv8xQatBMHzR+iVaB8Oc11UN9I6O+iEJ7PQwOmOxyWh2kyNO2DmtutJy3xDkwdnUvUNc
FOqcBXL80qfCvmJ8GtR6GJvoe2+p8o4EnNu8GDgIZprmzyqyxAtGgfGLjEUZmnOXfEeMSVh9EDuo
SlvpXeC6BpT8s9XxpMfyVnmtMa0C2pXfvVLT7usqY2rvkepzHjUTv4XdeIz/Ox8+Ko1e+8QAKiez
nA0jWMlpSF4UPMN9AYeW5L8oecbRjGzN8kt/13mO5QHxdYuH2UiSOyqGg1ODe9qnUxHvUMz4R3CO
404HC0uoV1m6D2UCImmnKvIqwPskJnZYMF5qleRUOevKroO32SBkL2SA4ekh9LThhnOgDwEBi+MQ
5TgbO8NVK7OuEccIEmWWRgUHNUcZ0/fGP9vU6xz8ozdcR68Ue5LQ6n2u6R23kMjvwwC+RB3aym0e
RAFRyfB8LaxNyYcTFAjptKYq7gyP8OSVH6vsjqZ3PZDf7o1PBaaTlTtgD79h2g83NlGzxG0eewFl
pxuRM4z0BJN61d5VydCGEC8E7Sm3EeS9ygTfb9r1R1hKS9xCIuOL3zffO37LsNd7JVLMnVb9fcI8
aSMkJ5N+hXG3f61ayo49LdTiMRpkdqDfLza0sjMLjJY7vjSwpS/uRGxN3VQOQDGrhaJuCWtr1GCS
VzI1pjvVd3H2KHRkpOO90vwU6Y2Bur3fecaYXiccuJfSBNFWvPHt0kPDC98Sx770yRKtO9FRnmtE
yZCponPciWBdGrW5Mux+fJ6cif7tbJifY5+/gQZrnRXqwe5kvJkqqJ4hE5mx2keVsUgEI8C6PKEQ
BuCfzL2db7sSUpbGPC1ktkWMN/B1rzLaFb60etPpTYklewlsT/LFSIxBHhXmwie2ynWRGzcmafO3
tW4gBq7tKyKOPRAq56TIGaJN1OIlJVZ7D6eGz32BmZWr0Z6jdeW3rEC7EvpZc+rZXXfd/2PvTJbj
RtKs+y69/pEGB+DuwKI3MUeQweCkiRsYKaUwzzOevg+YqWqJWals/evaqKzMkgQjAuFw/+6953YE
e6jf2MHEbE9WVmfbKGYDZo/ecN3Z2P2HKkPRkF1H90o2V1eqqbqTFXfZPYxSh4hyoeRexXl7b3jN
3RzyxUwoicYu8g6JGLi1m3whFONsYkU3VBHFzaPRWekNI1G9bnIC9tEoxQPxdFYtN2N/5jUOTE3F
lpb0NCVEQ+CuewtvYd8lt7aTv/ecOl0HM19so7APcRvcAzALMemKeO3jflvHdCzJFedPZvCzyoh6
0/xjxMXwiIQVbsx+8o66cOatlap+71qxda9KAuosT8TKnVpCF3OyrWLMSxLdabqzZJ+6rcZ4vAax
Nn+wqcZi1gwJChJMSkw05GzUtfqRGQtAu0GlI4tUw5rCNoW1MpK+AUNpLBhyJMF8MRO+vTge49u5
Z21MAjaoBarzoTM8LEOCEhdOlHChfGuGFJoDWBtQuNZBlFQ3GUzFPSE/9yqprWf8AmQfAjw/I/Qt
qqGrdgvTHL+wzZtyN3CA3vozsa+1ClLebcuO+aKyCYPjFk08RFy7xwsHsWpcM5vOryNsVZeYLPOX
3kRnAbUEnQgH6daEiL6JHd0RWnazj5xG3NuwRecH65C3H2NX7izZGTcyGfOLgFm+mdLAfKQxIf3a
TE77SdP48qAJ7N3BVQi2k6jMXVo63bmfW4gYptNgcmaysSVok7LohlH3EDl2cXLDxn62G25p264G
CEtVfnZF2eDXkeICqCxZj7Bo+VYN00MgMrhZmSGiG+Iu7Mw5rF03MvUPZijjdR83yaZwXJbMNLgI
r4kPESN5DAiddnEOuppQih1sMAgzKvHbcD6ZaRnuMkZGN5GV+u/CfB5CND/ZPLH9o2pjNvro2uqT
5oDfs4LWJsaXrO2SNTLJ/Gj3trUu/VjX2MiiNlgRiXxXoeZfg2garmcA8oQtlBlzv1XhPcRo8YCg
atGpEZeEaoBLrDEqhh/Kqmww6ipcGU2xBMiX1Z4n+vgcguZ7JBuCLwNpfdxCl0yYzzozoY2uPcm6
vWs7HH6cz20BJsas1LK5nTjCJObHiQRQfijIjUYfUEgXZ3tbqI4nUWK68WUuSD+ucrvLthT1VRt4
CCNRBXOcv7htr7Z+MnEMRgTTq9B2OOHUNaDDIJy6/WBmj8OI9AHbPSBFxFiHjzLddHme3tnLJEnm
+tQFRrmpVB2t/zNHztuonf5pjsxEE+np7/fHV38l2f7xI992yM5vEvw1dCGcSI5nCXap3xxS5ivo
yGK7yzQXmwgb1G+7ZHLI31jYwLU9E+MMY2j48BiqfiUXxxD6jbDm4SowNVKIkjZ02LeJ58pv3TQO
RkXpY+mKtUVej/iSGPhyrLvGKMmwakQZpkIJ3EH/psgnHsG1NCHNbOaWu/IhLSqTEs2mUXY9bg30
Rwdmns8dzdy0B6ShK+KpN0noYAzaZXWfOcNNayYREt5kaXYHuOGXmsq2AVd03TtV8zkJhjv8otpf
C8ugASVUepc6nkcmrwo2iJLTg+HOSDszRDNStx7AE1iLnhXPe0vUZO/yUaRyHTcmh0hNurk50HLe
Vbe4j5KHuvK9T00625zaeegKvmR9XF4psq8MlCfvo0GhWcElJjVvR4ThaF8yzscjM+XZFmu6e0mI
SH+qGNVuDK8YniKKiG5nzrS7opvwKtFau0zFrZFnux2C7mgLAzvxnKXHuEvDJ9XI6qPV2IyLRRF5
nwvP/ZyO041r1rD6gX1OR/7xz32n7EskI/Pgoa9t23gBnzKX5L+xvYoaupzWQXOaTAr7SCSs2IR7
GWCYgiXR8QmRD0L2BwwVGfCPrnmP/gYxtp6G/Tzr6c5rrOnEg3GZSEdsXKl2NKIDKmn0hftB3sUJ
xuBtT0vqJcxydz9KhSpdjIKxbps/hrNmC+52WMNmjk79GKCrOW5rnR3ZWx8MfGSYmivLvhROsADN
2S5nWutjH4kZL46c+k3UgfAQFlRwdGwLlpQ/7myC6gdovQDakXbnJ2PKyh11j8YexOF8dNAJPzOu
1sewEeUD1GD/pjOq4rowgi7bO7MxXcZuVr0gftI7LfLd6tv/Mvdz+vBsSAsLIICR7NWu3ntOXp/i
kurd/MRsb0iLjW79il5tphAMVgRUz1U/IBzPW2R0YX7+z4r6f1tRsYv/dEVlcNF9TqYfpg5MCvih
b9Kc+I0cqKDNehkSfNc24Hq/gYVbllntaZeh3f/OHWzvN+EA3jdNEyqKJZa88P+usAw1WBeR7IQy
l5/6heSxYIDxnfcPYQ7nJNByyfgBHxf9cj8KczYUJep+yeT3gh0Pk0Kh7wYRzNzjABKiivNeb77E
xoCuUjnOsMJp7RGM6NtDrbN+b1ei2jNbxlX/3dv4b1yJ8m1XEH8aL44nEXgWyxHmW81wbABcJhY8
Wk1wtrh4bMQv7oxRnUmjLxOKwAnlCcdwtlHtA6lEzTDKnm4rDkz+FzfPxV1Dcruqt+VE2doHGATB
zRRWA93AfDE/ZWHY0k4D223esRk33E0q8UtdEAWAZG0cRRn3gajKvHHMJG/DjUgHJxnZQuqkfhdS
3MLWycAVufZkWt27fpNOG3ZiDKORtbwTsV6xyH/xdoRNxeoeEsPyBte+nYXq3nkFgPKhrmAMsYKn
SKH0c70AcjbJglDtyMGtLmMKhJjMMvxlErzrfStMTy0JwGRHaBX3Q0zk7Q5vPqb0YNjltf+e1Kyx
p7emPlVBLPZdZzefqRSqL14mx42KGwiixaksVPOoodXeCo+Iim669gpHXX8aDcBBkZ5ZcVM0pJvK
safrPAh3Bl5gzjCdKO4Nx/tk2jFItKgpig2o0fAjtqdSr8xODmcDzelu7hJvxE0yNdsh6sfrQM8P
Zhekl3rq4L3OXq7xVihadtzEcF7qJothGYcAC0HYzzyZzUjdm25S3oMtsdeZ72a3sp81bk27FsmZ
Y01jv4uDGqEU8+llnqstB11rV3np8DghGmEWs/PjqEq5T9Ms35W6DZO1qFW3bhhhLC4ncQCnUW71
DFzUns2Kw3NZHJlDDGtRBeqOd726clVS72gGN08BHkgovco9hcJMg42fm+lH3ITNY6E5+FaDIC2R
dAbjliaab+zcGq/tnma8QIdq59BKvEV7xQoNMXedTj0tT1HRUhwU9s5uxuUGSTgpw+eE2x5HWz2u
W+40sLjBcG/qfrjBhNZfyaHptqkTeUhT8NhaA1qYNUQ2L6i1sWFmNerybK2COgq5pYnA+buBIwr9
mZWjPkp+ydoYU56lrtdtpTeIZyuAmZ3F0/T7krs80ynsbNxxrA9O6SDGt0wwPvEkxp3tI6YcrV7F
9aYY7AnSdqsBivEERmnVsmnclVVlGgihV6UMgfC/bMAgBvOKQb/xCAofuQxOV3v0UFGpmZSFJFdp
psdezzU1tiINr2n3yK+oK+bdg6g6r51+mYX14S6dLAk2zfWdzxl4fEWEfKgfAfzm1x4tPbx9c0Vd
O84CLGqev7bcaPl2hW7lrAL2G/2eM7edoqiSwNe5Gcm9Tgp1TNr6nRcO84vu5xFqWuMcPWLAKwZi
zBhLYRQ3rITDJ6JQbr3CLz2ZqyyYc7FJojqhKmnIh2lVNLV+yn3tdRtZ1cR+C1g+/Q1qtXPELUVe
JWO8Ha9E34bZ9VQw3Fl5U98fi0AVErg+3mDCdG56kYz86lUfBdYFIXq4UzVxMRKwYc+WNG/SCzbl
EtGdUmRmmX1hcC4XZb8pmXncKJaDqyz0YI13fpq9ZyNUkcix22I7kls8Y6esrg3ifs1GL8pttGi4
mi1UuhEdzUfmovEq7lFvWy/Kbz/L+gyLJbyNLDoAy0Uhhv8Cv3fqsk1WDpzaX6Vk2STJ5zjAl8Qs
bxGbGc6p24YedeMjTAPk6HFRpq1XkVq/CtZBWat65yw6dj3b1WnKxPApcEPcC4veTcwahzQS+Gwo
o14Fiy5uvkrklMA4V6EHTEEPkBCkXSCm+0KFd/TqWB+KPovu9TRm4tDUTXDrOE5ZrvqpTdK1hcXt
qcCil60cEoESSAYqvr/o+WHlVYTLxNifW5wUmEvEIKmisV2kn4STOGGHxR0g+4bLgUnqv7K+I7Yb
4bCrtGqelEGR9jrwzPnaYW3exZMdH+vEGrfVgCuBtWE8xotToV88C33CTcc6z5c8QaOj96VYVMol
oe+92h3ixflAsTAmCD1ZiyGiwRuBCMl5umfucdViDH792DB3hlcZpwnGfjYvshd624Tqc2wj5w2u
A4gPRNB7VO7yGHNYuPXsUHDV7LOF3M+NKGmVGQ1q7HyW/lmm18Hk+jg5SDJoglBKGuRsRQYnyszL
bVk68c0kC713ODjwA/NoXfDYYkIYFkOJXKwlltVZmyycUJVr/onA8j3FiyGlJpl25cjKSddNGWJY
kWDu+sXEkgBd2dRZMe6XfclLuphduEsllTuvHhjn1Q8zLdYYKvhwNPM4ra9sd7HXSMDlpNebWTtb
OmwnZ4PsTk/tVIMX2IxI8e9V3Lb5tlqMOs6rZ2d69e8E+Ol90uSLr4fSYDw+bqgHztK0POxBeeIC
6hZDULRYgzgU83GFz4YT9xcD89/9ZKqHZPTlPn71FtmARWbCzKF9bl7dRwiA1sVPckT0NiyepsWm
1C6GJRw8fF6wCvAxGXacP9myyvid2JysxfDEoB01XS82KLdqxHXDcsa3aLFJBa+OKfZduKdSetG4
QbSVPCNwfWoMAQhgEhCxwWOUpxjPh2bI7hqM2nEfhTC7fTLFRlFl90NotjcUsE13DuWqWCZ6+JKq
EczS69QyiKM094E38LCm3uYcyoIePfpXLJDsSsgNEizC6+BElN/KzMEfsTAQoGAj+cZj9eJ6Fe0U
9Wx4J8TXYdlgSqumR6nwmALOrbOqh3o+urHSBSJup67bzJydFXXenbUajXmhPMZxf12JWRKCZB2J
13XuKJJOXlx/sGI9GXfA9TNn3/HQJ/dQzOC8uAdoyCpSderjmieBAz+rOiQUZIybcfBDn0erw/6r
SG33YRypFywqbTQrB3XlyqU9key2Z5d7t1BpfK7DKRmhqOkMM4s7vq9JXd1jttFPFYHdfaFwv6wS
Ej6fHUGXhouXO99XTY1AZgSZCT1ZzDwyKh12dFmV4pbARgjZvYy8C3CL8quXm060Ts3APFJUl5rr
nMD6qrE7UAIjziC7vVLuZCEE/edY93861gGjZ37194Oy66IjwPHWcvnHT30717nUqSpa39CGX/Vf
HJzfFGUHjqB2aVxyKVFbOub+NSuz7d84yVgU0LnozVRvo2f/ebKz+IVLwTIaNI3cbI1+aXZmvznZ
CcEXHDUZxZuTokZ+/PFkF0310JHKr4+SG9fdUI4p7k1gaoSpgfkVVey2+H6xkzeG9h/JltUwHnL/
ZNSRf2p4/iM1k6coTJXvidYDdKaRAhsK+/VHt8zYPYSlxBtjQsMVuD0uIid8FC/hnDEM0vcOWblt
uYQcuNd9NCsnHDdAS3pYO6hfIjDrgVCEMR9Yh9RDB7P8H8JJb4aHvANLXpNAm2XzntrL+fr7cEzM
Zo2DKuEEtprjLcKut2fPAru3bZfXxd/93S3y746sP56lX6/HuBLICENSDajix+tZBnouxfDlcViA
49QnvCxS1RIW+3PA/bc5xTd22uVK2rbQa5eWMMGo9ccrzcz6Z57uKZ4Azn4Wyzc7SQmDDgP6Q2+l
zn4KY//+l18eZWWaeQE3E1HBN/HU2LTwsbH7PHaK9XBlLLahBi+D3HSjJDT061eTTDjg7QPY1e6b
NzPw3CHKszg9CnOQyTmvs3k3KjT+SwdL/ufXEsuU47sY1fJ+eppvK0Zb0G8YRH58P8ckAOKdmNGx
CscUXTTkLL+pKrqH3Fqg2U/heOk4zl8PpDwOc6ophYHC1Pzya15CRRoTNxMhkkVvPtZUNHrKOnaM
VZcQK+NB38ATonjYUyW2vJ+/6L/eQ5JeOB7VLpQxoHNvJj81B2W7rVV8LMU8372y7luDb3CJRzU8
Tk2ExqlzICz/cN3lNvnxvZamBmPKQVkxEjPfrEtJEA9RoMr4mA9Vz6acT3Owu2EgvQ8T/+ev8c21
HMLUSODLHI2PVxBu/fFzdSJjEH1IZ1TEeR7L3ESzeWnW01UA6uXdz6+1/K7vXtfrtSRhPDKi2nSk
ePPhxRkQ1Zq923GeZhpyCnYLpzSy+z/NX3/73X9jFPrjOogrtAq+3q7Wj6+pU2lTq2KMCJ4Ak2M3
w3li5Uw5kmVvy4cwijI8tNhxo9XMAAkqUBaE55+/1jf3zvI3YLRgoYOSS1r97b3D4SyJKmBHR79v
0DsEcCcawWj89O0po0/N5Tir7Okf1vPXt/DNW2yxBCllE5W3oPT++NL7QLG783V0DOHUfqhjlZ2U
7Uw3JTLDvrZLkEmtQbHwapjGQK9Jx009iPR8/IIPqSI2j2XoBMALm+oiCfmRzz9zbPwRY/nbT+jf
/Z3S5NnO3NfDzvVWtUqk7Q+zNowDkUf1MoFgrdd9lXLM8lM1KPQOjmCrKTa0Zhc+JGcKGKalBNT3
j11SOFde6/lHnPn2jWeoRu9UHxYx5EZP9/uff5J/vWtdk3cTyU6yI/mLwGZ6UDgaWhSOmWeChEkC
urw5uzTt9ufX+es3ESAVHxmnEJd/3z4bI4Pop09j2bEARX7nRUuYL08KeYUEIx9+fq23yzm3p2tq
zfx4yeOBSn6ztE1uIxtnjFnOIQZtAtfvNyj53Ro/eIKxYom2jsN0JbpRfzKynE6rQrb/8MYKUy7f
xB9vV9dGvYQQwaaAP+fNUyWtS8Pim+EfdDfU01GnFotp6412eQy6cr5DxTNfXtsHIoDMSFxlSKtr
FCXUt8EckVfAd/yT13XTLX4GYrpNFZdANtO2i6jXoBsiDemACEl03s+p7X/tMU6/d6d0PmPUA17j
VbVabBcJ/h5XXvW1yYKLVcK6h/SjHlRYmocWs/d1SL056MIyMh4pL5jvJjDB3Spl4HTJarN9Tn2Y
iLPBNg7NlUOyN+b+18w1ZHnKswrzSY6V70Bww2kYlYYk5mxdL3uEInFA6tM/+kyduficd5n9bsDJ
R9ul32fGuiHT9zXtW2fYZC1O8G3jxuGZvEIG6IqlRdR99NKFLN5FE9AvWRiuhW2fbeMCtXaD9RB5
QbczQ+XsB4dyj02ux+aLqymiyONKf3KrAYIL/iDuN779QbJLCo/LY7I37lyrYe00m05/mnGVb8bE
C856+dmGgy5RHUlrWxUNxDE16t6jV9jTmedM+r6qpuHy+vb6CiqClYfmXWlXIdnFGcT1kfydsk+W
mYVnysKzbltBhmDS/LpawYO7ok+NFcoVo/GUFwl3JFRI8oBpKuYDsG3eu4n2cTKsphk+OmPkfOig
AhnAEM381k4svRhy+D0DCNUzrYbwqCjyeqlNjwo1v66nYO+RoJxXCPkAugPbfufmfW2tDIv3NgMZ
8JIGmbUTGLSeGTOB0uJLQ+TajzKArQODrnWbgJI0+2q8RBOi5EY7InpKVcvShMv6vZhMJ93ay32Y
DQX58Q7D1noK3TbazKNgAyMy6oqBeXEv6aydz8EwpbQicPSaiDL3UAqkgXA0Z+xzunDhAsS8AKbA
8UDQsuEG25IQKJ/DIaCLenS5ewEzjbc1xbXFoQs5MWAwNx4VZrklLORM58BI41PipltvZlCH1k8B
rJFWuzZm2h/QhrYFSy7Xk1HUBDPDCMZfnV8hnizIwzTaKKsxz8LO51NXmepga+k/Bq3eFs6S91H0
oUxcbe37Ul+yWe+TaEbfh2O3N6PY/uQSYVqVToYTdMJgmcCkosBjZuhoWWuBgL/zRozzTp2nyZp3
1XrvRf0lCvLpFAtvF4Y4GfGiFif0OtQWg2QKjC9vVWW8rDRx63WY0Dcx9WCMCM4ie0nnU43mdCZT
dKnHlu6ZHppdP7kOExILNloVvaNGh/68prSuUoJhZpfIddnmwz7xYNIBS13snaZC/4agFnnhfRNO
LyBrn8vOaLYxqMXNpDD8WcycjobpfqwW1z4Kf5mup9HlqdaV1lNmO6fZdgVMvugmVBEpAkc99r1/
VeQ6+NjiitiGzjSewjRjAXaWPVJmTTcqsu0z4ZDqTkRpczJ62kDmWV0nmoYh6MBZrMkjLYtI0PyO
qbM8TKKIqeD1e79a0boYnwQNH2Ll0/t73dFxbDHWAfLPvNea38nZsXfjkPrdtu0t7wp7ZnVho+SE
m0EtwpkmTE2gPnjHyHJ4mArJ/qFoSsrswHRN50TTMOlnGDycpHW/xFlUA1FT45FhccZF2UWf68C8
d+Uw3Othmqi27brt8vzBiFiUfbiOyiq7bVqGgppvWnpEsmQrYCWFv64n9iKJi1iV5KpZK7qkWIry
Ae+hzxNBB54+lDFHH1wIySZjm7fzZpNZFzi2cl3TaXppzPY9jYfVRiC03TjVTI9pQKYw3rSk7uMd
miYWyLJJdnmcyFuzG5ud0l3woY2D4cruxk0b+cMpHjqTmJU7eE/UCDc+nC2rWYqtauOYe3V4wn9H
sMoa3OYw9xk3ZszegSNCalAoWettNtUfc+JJOzPDJwuo1f3aOiMuVpUL69HKpP4wDrTx7E0Z0TRJ
T+LKLzr2Y/lYHcp59m5Go1J3dYpSZRc0NxltpQ+coD3QKMJqV6Xo6t9Ly3W3VB1NMEPss84c8+z5
9ZCuHU9cM0fO2cLkmnBT6t2lfgUkxLd9m8N/HDqMKWrxaECEW4s29U58qITEJE50HsL4oXOjdz6P
s9ncaYKEx7HK4dsWlbVxFbcATldiYn4g94M20p3CAgcVP3IgUzbFLUlwm9SViI9+XFkL9iHa2Fm/
rnpf7HspubG9/KwYH6z9zLNu6b6E7lNp+9oLyPnV5QwxR1Zik7lDsU9NAKPp3LjPHTzHNQtNte4b
RL612xb0mia+dPchbdNEKAekIRCXwfvcHO2bznSLizn7bPshxapVSUoemnBiFA7pzz7d00+gP0mw
jI+8tOAKH6VbbHzfSY80sE6/txzHr3H1d/ibDPD74B6Q1NGzeaYD662XyaS84cS+wAdxyvi9KE6p
mMjO9215HuIsvS2pJLi4zTge7KoJoal47iEbZ9qK3NxYYTRwr4pq9M9xh2XHCfrsZQHNqW1SetUH
B4f/TikKpjyZRRSRUUl0JF3FLClO6/e6KZ8yfjVFngXygSdnCxEBCOmziSRBONBoDIj/C97QFSAj
K/CcGwfc7JXwJ2iWBWq87KJtklmfB4Mu3agr4QPjj4BHGwTTGfmueNEi7yFVxKgdHs9ABrD0u0p8
1Ahv7a0w++YlrhPW7D86HH2vTmh07J3XfsfWfG17JHPiOivTycfwa2gQLGyjhvKLwGlzjkmt8bVS
YX4eZWndRIPs3hmB3784deR+Cjraeqnn8JDkRnN2GXxLMhka7lCe5QdDOdMJvdULtpnq4QrhdzWT
rMJS35O7jatFuRwSsWYXheHBmvSmTWkGAl7lE1tIR5u/qh0PTh6bZ2oPUozlA88MpKwpW6dgaxS7
yyIENhBDMRf+Eh2gN6vbtI5VsJxNc/Dg2rEFVQ+szlF6I48RwXSI+5KpPMTs2XiketjceUnB58ZD
YW+bZXsq56j7XHI2WtSRlNLRjHehdqMn31puZSZKJs1opUVTGur3QZm2/36Slv1sWKUB5aAbrn2X
FJzMadAV4FD3ozN676Bg07bRyfrJL52I7aTprVHg37ExhgPoKxK1SXWv7Pd0IpMwmVle/dTnpsre
0+RqrkzXuNc9oIhY54DmtbvDoqVWdY7/FnN6thrZnGy0BuMp8hrfNGdsbLEQYb0xeklSK8zXBudk
wrS0iEzQJ7CqWbtODb9TT+ztOcs76wrRYAdkWa+TTJ2sJpNrAQV0lckFDusFa6zPBgBQbmczHsXV
JDNKigWpFH5xWHTu3pqqZJVlU7on4D0+VMoK11bnBmd4qV+NEpmhmqnSVn1vnSIGu9uGaRbdrFN6
8EzGA9bYk9Ao625fAmuiMReTOmd8njpshE7EdR1i8VG1y4aWDEQ7xteJGPcJQOsVpPBxzaFaYeMb
LwO2JNhvozrIGrCJmfXAXivYTR0wTYut4O0oGhMlLcYV1zaweI1iWxrFvBeKCsis8p7qych29VSq
q7ZkdjAjfBCdviOY9BwpZ1eAwGKf4t2Q0IXbWX0asvnSQY/BnvwOgteZJZeBEabqK1XPX+MqeC88
715b+b5kN73O4/TZMyNchAlDSt16L0LS1z3Xi8vPEPJdkUbwjwvrZfQEGyuoeBs3tMA11u2GCs5d
3JU4EPSAv159znrKtayMqTbRRk4EwdB1HyjS+Tz2VJ3HHaYTGCjDevKm4IOJSW/GCe0mJ/w7QA2m
iaREZO/FvO2r6CO0qebQteG1rN6Zbt9hDKq8bdhED9oOwoMevAT2T999NKza3Y4DRqueM8x119XG
AVfB8jWfzJO0I/0REkmOoFQpF/ALDKGoUoxHh3g5TsCgHPcFgYKtiUdhAZTAfaWCwKh3YTbew1Py
vpBwmYyTUaYMdMDENq65t3prsK9Qv5sGaj2Gg1vKTJbfZ1UJkGqGzgODC7xix4BoAEV2Q4L8y1TT
iduVGadiR1U38Z+E/dBB250GRkw8Ito0RhFXK8NjaKqagSNnQulcTdfCJzdI/K8NTY/c3Q0e25XE
AwF0yOUgBRiw4FgUcNt3G7jwMJCCRdOYis7/BGXU2PpGxRmjgDIfRzPwKJ5x793Kn86GIzklR9rY
tnRDmDexIQHntgu1JOs0y9LQxPY6F8vpRERj/3s8Q6iL1SSuTUHdoAjofw4TgDFBZjDkDhwt7kUj
262SNScRFFjzpSgGJc9t2C9HXjqEpnUoy+YDoHO2DqmhzH0pYCKxt+dXGyqnJLTggI48i8VOC835
Cj7Fk0ozaxPVbP9WlMDdyhpOBSmiY14id8488o9WQm9l1Nj+yQ4lQwHcwWe308wIFqXm9Xp9SQfp
hHPk6CswaZwTCKTB1Pn4+p94bkagWnHsfyXWaQjoBwt003OTtZzBoPcwJXDt4TJAWt8YHDbReuZc
PdBSNp0xDMuVGbbV7nVQXKb0y1pjQdFjUpOeyaKShqSIcgjD40/MQoA28Lzyvcpk84HqO15AFPMb
WUdmXHkdQK8oFR+zzuRTzxMQg/4w1sda5uNtMrLfpY8RBFDSQRgs6WBfjyavy8mYhZeSY1/V05q9
llNc7dmqcbbvulTXdEr6tFhEM1MRhpcsBh19Ur6JF7xwegnV3TezjPsfltQ1bfLlM8M/qL9JzETR
na+8um7IeaUe/C2eHaTm82Audm0yDM51CqTuRmIIuSriGYVslgyv/Dk5vd53BoyqXR/zCdgzgXUy
yfNd2DaEffpxIe50IVlHA/F4QW46813aLe9J2qGyCf4vn9V4U2jYR4oh5doRVJVSMZnvyTW3hKMB
YOkJnDZBOcpb4OLS5M4d0DpLowTsfX5hGquHwPKMrRdSB4mVudm0mtrTMdfmR2BS8w4HQn18LYss
i5Z3S1ChQRDf1tO55xdBRK89uakGw/wYwlKNN0mbePuo4b4PDbbXsIegP70OngSRyq+zcBgqxfAP
7ZlLxqNRPDNKzG3S91b/rrXwYXt065360C+e/RCu5ITXDd52yFfYsTu0STDuJ78UxXOiG0xh1WjY
cGD61MQ1kPrinsMBrzDHItqRPgwSdsB4F/ZeHlnXnFvqDxBO+Q8yM01OXcHb1DeQAIeElsfXL6zV
JOGXbM7KZ8rBufTYNf0pbSf/2DJyzVadS9n7TFtDYDKRayt+zquj5IrF96WTDb2IIuLo0Zafc9Ol
UxQxb9/0Nd2fLZ9O2/p82Ue+gX43eUwscm/f1lStBoWazjYj8HOZAUarB7ys61nN4iqFbHPJbeWf
ZGrzl7ecfOQmZzncm7Zk+IEs6m7kchcMRB6uZSkZKZDWgPFG/069GryOu0TP5ktgxoDwlGsUeERK
b6+LWoK653SKA5D10XN4p6ADGI9gpv2vGsx1tvLa5R6sl04xDfbphMkMPp5LIv9g6AVg6WqOfRQ7
9L+7inPymgPG+LEpovFp7N2FiMWGvGaUWgZbCl2xn1ggE69F0+c34dB2j5E5uF/K3vG/RsWIe1iG
6QTXiieTEw3VbpJ6IsdL5PHYe5X/KVYLO68BZgE3uWDAvUnL6Bso8T9kqX9KBC1w1++m539pyjo/
R/nvP5jX//iJP00OijwPDGVH2Rb6APcf+sGfJgctAEvx/MCIDr7RXQL13/JA+jdHugz64ejyyADs
+C+Pg4P9QS75ImRkD0EA+8MvuNffigqoCRyY+T1oUbjX1Rs9aPJAYbXT4iDwt5O3ldOZ1Np378bt
H9P677tJ/3oJTB5Sumwf+ZNxUvwoOSEhLZtDOoTBl6+S2V0ZEy3Qirf0X+aS/4+rLH/F5+d7cqDN
f/+X+H/EcMdRhlxF50+N8VSMv7fy18wJiJI/vpA38qSOCoejO5fo5jtt3kFnruaXn7+K5Vd8r3cA
MaOFiC4ph6p713orXyvspXlvuPVhcFwaSwwONVFZ3GVZtZchM9GfX+0vn8zr1TyBdkWuQr3VdvUo
xxYDYn2YioC9CfLAKso0RV5BmW5+/VK4LADbSCirnNt//HjMRpUjDzNeWOgGj2PsVPQI9OJs0rP4
D4r1W2V1eQ8F02C2J57HFd98TCKRdI7YXCqv8+46SdvkQFX0tPbHeVxVwZjtCY1Ov3pvcFFaTISN
k4kcxtuLyojKJANG02FKeBctRjArVTO8oNPZ+R/2zmw5Tibd2ldEB5CMpzWi0mzJku0TQrYlZkiS
mav/H9S9/22XKlTx9fE+6O7obn+mgMwk833XetaZ+zvuXi/3Z4KAw0WFSsZyjh5lJjQ5S6mpoJig
Ja7ykMgZrSb1IjOR7MNyqe/kRHJKls/xdZeP45nrL/P1eIyaoPDoIhP9ah6rD6bIkrGeRU3gFWC4
nZIbdOrh6+fjZbmJ44sImPDeIuegE2n+PV5Go2qn1jdVQMamsXeHeEhWkSvCm9wkGHWesOITBDFu
K4VY//NLnxo/AoYJCjPWLKJq/760b1ujEZlCBQhtJ0ovNrbjVJvghmg6+CiOmDYcS7KCPr8sxOeP
sx85u8XNmnwUDONYb9bkGpi5vlawP0v1q0L5MUBYhsbNkXYO7BDOHsZANk55x+680bvd2AheAcWO
/TT2wz6RSj2Z8SyMNTv4dKNa9960i97ecAwdrnySdygMkG4t2rHfGYCnH5C/cvBaYsAfp6WK7qZu
etk4PZ21ijqhR5aM5zUQ9ow+6FK1xpUQ6xxCEchmmhtf51JOMNq6auUQdEYtoeMkoOfupY7RiNYw
ZIZVbE/xtV5rDlu3HBOFTk8k1myAVlHRMVDHNt/gdumuOr+Yv0JlzTfwRk0M2PUvB14mMgPShjyt
JlXUnbH/mc2VlZnt17GcrPsBI+peo1y9rYRKOeEscV+dYe2ajDXUHaVx7VHc26bCGuH5jv0X4bb8
JewFr9wZ2Hw1eyYpAVNjXIfAFYOKuuA6qrr4Pkz74Zffgg/rZ9FR5glHhgG593stmV+H0gm/xRIR
1wa08PwVXYItoHkZr0qNWr6mg96+abU1xusxzdsn30y8GAVWa933eFrW7vKAEXBdV1ToCOVqF6Dg
ZDs4AsL2CowKOeIJrPRtiNMbykkDhAvEnIv4ONVu0sh6bRsEycPUdr/TefxqzearDznm+2iCO7A6
LfnWZhBA9Imez0rFTKRysF6Xw7C/iongCNKaFSOlr09cSzi3T53O31eM/I50dLND4dvNU7IM/Xys
3cvC62I240O4FbbCF4UYGUSCmV5Epeg3vpJqh6FC3+NkmakHk6G29gk22npEvnIGz0mMt+nXBdRR
uIA5k49ep+1+KLwsSO20f4Ag3j202P0pM/kNAwPe130eIe3W8zA7oGgBtaVV3bZHNHLr+TzOVb3E
JRa0cTYm26abdvDT9CKlQwuXGSvpaoRTFq47xUEIJ0xEXz7RH9KSmJ4VIDf7Fip3uo+jSN8blgp/
hnBqgNmYWnhjDj7tpSymm73YHAiYpMZ/O8WKtM5octbQf6zDJFV9VWtLXaOY+wvHl85dqAltjypf
3LlERF0Nlv0UFjVHI2wTaM/tXqfxSu3xolYtXoVuhNeAVzr82SI+wMI1VO1KaJ22r+gEv1lp5r1R
2W7XDUSzSwWB6Wfs68Y26moLiiKRBFutaX1aQf7yPEL4GBtjHn/ntGnTddOP+TaOkCkYjTEFZGyZ
V3kUWY+UDeZtOHlAB4jsMvaeW6q9jSfom2eGPS4cO77Xi1oPesANzsbqRk70btLTo6HB8cvIgNPU
RVfcdIT8vCgA7tdlF/m3+HTEI+d/2sl4mbTtWJOuOZhEOoqemhB+Fe8uTVT5MsX2cK8mQP1jGrc3
Y1M7V8bISRpcjH2ZEaSzN2qbaIGpdR4kDpJNiy4MVCFF+rWtE6mxquEBgRk2w/ZeEaZZrsAaZuSV
OY69QfpTYfcb9DcrcdpiFedV/FDjAv9tz04TGD2LUAaQfs/QQLcAd3UnJ9ns24pss00jk2bDhhIf
hG7Vl/ngYFeJqzp+nDnsRauIGL2lzBY7BNdgYkdNMB/4tdGjCXD4MJG1dknbcFrndpjU69QpdQhx
RepfeBwWdtgFHMQAEQEZjU95hDICVIjFdhhnCcAbRzAmaBBQ4fL1dgvFT138u6AU1960Q32vbd2w
C/G/6bm/7qEr4+Kr2OCYFEjuSjYBP4FftCxjfXZP3hK9rlSf1i2rwI8k8WeytVw3AOTWv+J6J64b
wdnle7lkqIhTXXnoq17IzzV+4k5Da5BzbH9rfMQxUwNuD70gta6lumKWjg2pibIIgjFyLWbbXQpg
iJkbj5ZW72WcRBnD7/BTb2MZ0dKUXS5J25+iKgVY4swmk2O7yJeaetY2z+7YNhuOvfxRSwlt+x4m
8F7JMxvo5TSEOPVacfXUJ0Wxf49MoBgXbpPZ0PlWL8SXmg6GPi7n/Kp7wQzcXgBs9zIcUKm98cJM
Xz7vGYun6m98+k0UqmKILcrwk2snw75kaG3kr2iUj0FFW89cedQhL/DdQByh6lwcYEtRBnArh8xf
2mNzQDoFP1gfAXr7pN8+GFj1vr2LNBJrKcq+K7lt6YHsHhYU/yw7LgveIzyMYOpXhqKW9Q6xl4mD
mlMbefWegIFQuVRAu1zEv9+LQdlSqCqUY1+GMJuoTzQomGtixpj9mrfnIKouhNSyp8HH41gSpfGw
oMi39hJh4bUUFaP30vHysWt8mp9aShl1cCj0CoOqSeXTiY0pJ98JNVkvhDDm21IywDHTZIeZEb1G
vwkqx9LLVyLQugskH81jkznzEwMpunNiLbpt084nM5IOrmOhG0+ULEn4Fs63lrNou+oSM7zKB7Je
/130MUNtvIP4DdFd0/vXvgy1r4UrQ4q3bWpsPM35z3vK2pGQcJ0fO1pi2OmWNG4ohZJpD03lDhMY
TcXcBDZgj8n3smu8e7/qx52Gs/ZZdJP13CvNek5tOd3wpXJ2cR1rmylJtA1lRdoHYVhdz5GmvlQA
EbamggcBkXi8eX/qLdmnCKk879Zc4JtlWfHha9JLWyGfqCvgCGWHTa9iIO5GiJCXLu3Tbemn7UUx
tWIrwcNSKdYtJrHrT4eOEtpt6BnRBWofOq7vY3n2DAR+muWxr/BIUQOHeOM2ZbilgxnBTsTTt6Lk
k93qdVpcODSVvvkh1sw2RFULJJOPIQ4gXv+MVyFrSPszcKjhsfRFAUqCcp49G0tFErVTNhHdEdfT
hSnD8tZV87xJKhv0ImKX6UlH1meTfgmobAaCQ709869yYGIQg930Figm/iZB3dvqCtoHAwkKhjvQ
UlByvK3dhk+3G+OCd+uKquQ4F262gd4RJivPiP0t36b+wlcoFFah1dD7bvPSWJOdUD12iFB3HQsO
e6DSxXJtmS1BZZgoVOf0GCKo3U6DIQ818rEdSn9tAqhcao//TmnCe8iO2YLFl/c0APT3EIbWlsTJ
vsuyvb6m2SeXUAmjzJ90uizbQlKUFn5i/HzXQVlEUm+sYSAtwPeonY4JATiatcgFEYxsE4ThNLiR
+qnMdQ/OYE1br50UaDOTKqmYejRyhe/gg2p7RHyrkrjDe92hE4pTLadsHPJfHi2tjkj+pKh71bUa
DC7+6F0q8K5BXK7DgHhZa5/oYr7AhObshzrZL3d068ajuabuGd8QkkFSQ5cUD+aYEZrooVaYZazt
Odu3aiXsyfwxlZOX8m2oHyAqoZPNEu2SZvldh69/BaGTuMpUe/WIZtoZVvmNtBwDoOwUXnEb2SbX
K1ZOO2rUzvPUsK2owO7DkJZxyb7kEt2fQhla6+6WHWJMj9oGaxiT4UwZcp01TvHLLbVflPtvR4Ao
O3McimXfVl/gESQrdk4ehyqe18rTooDVas+D6Ndo0UnSRMJDC9z7ppUYXmCjVDTmCe3ceMOCcBT0
GnWvRV5jSyjgruR+8aNa7KpMx2LFRh0gw2tZxhHxN2RhO0mOqLsSfQcdJY1/RB053RkgGdLPu7Hf
jt5cPUgsMYQgRHqNjs6ML+PUkXcloa7ftIj8b77qBQ5BSR++dxGHGijkNrkns4uun+aDSeoqqQ5x
FxA8aaMJiGrrzvLUfJdGjnqQYMi2iH9cWv+jKjbO7Djb0VVAJVUc7wmfT3d9nVGN0/PkAH9gorfW
kkGk5uLSgNZHSye3fbUZqkiQ3+x1Y5ZdNuVPtvfGd5LLvGvD71p9rUy7uu/rFDqOWXXDXThP1UU7
0WAiEZOsdQ81lFkUOvI4zLdLeCdvkcRw+6cVW/Ww7iEN3lpGm96XNtmCHW6o745if7Uajdi8mTy/
/Q62wD1kOJWfw8ldMiPhYj7pyxfSMQpJt8uLg7Esu8s48azruGjaZxz2dgBwbDjkdtRfDtqU/Wqt
FJVRbPByq64N73pXFr+LBqZj7xjWC33UCnstdISDAdvlCjI/1RWsQvQ5+tLirNsAmJm01voqSrfY
Iu0xaGHhbb2ptOk1613vm1m5JXqe2VtHUT7v0GmSukpAOLCEeKaLSgZRt+q0ETTSpFjJ0jwNUtnn
JJO5Oq+Xr+1h4lSBglzMIHe8TdTIeYOd9FHLaUmXLQUtVvkVNVtvU/q0rDNDPiuRik3m0NJBMOLW
2NrZGe8r3ykeq6yorto5Ny+UQrzBfr5AGoVLN5NepwWiGbQi4LjkaK8ESSIWG0DrGZ3jPRFaWcIo
Rc/AKWZYmVoSfqUR0l7xUczv2CqmL6Mhqq9pndXfZCdHdy813KyrJKyTDNLAgvUFxU0wrtaW95Yw
hnL93p7IlEOIQKeG9NCb3Ws0eLTvqexejb5XXgp2tr9KCb6XgEdsNVp2M1c9jIJGaPm+RW24piFc
XRGCBOMN22p7QyEwuknZDK1SK0+brefZNVo/B2mqAhzI/P8NoA/DNd80f9Xhv0Uo0c4HYMTdXYaP
amPhK3oaVSP4cIFHMsoivG+kqH5SBvthpc3wA0Hkw0w8grVzablsNLot+7SeWdmlJtZMtfwBYBfI
EqSh6out502xDh0UfHGn7+aehHWUjBbu78rax2CorswMMvuK8EroQ4CMA6De0U+6Tw1yCb1a2UID
uRGN7iNHHb4niJN/hAW4axn5z9ZoDZe6NMw9fwshz2PdPliJ9dvNPXXbU9TC0Bb2uz5D98Zzm9Jr
35+Hfa9cnhhQwD3IkVFRX+GhiNB9dvvYekz6Cn5GlzBhlY9hu2RPNcWOv7M1e9+K2LzjDPLEgpzd
jnJ2DjXq0lU7tM5W5mX4UvnZvM7piVEmFOmNA8Mfq7HGKcZU7G6hxNTkPw/llxJOBjtcjXpz0V60
3lTch4nm3Lm1TrB56pg3RtyLNyMCE1mlRGSrLokOIfTS29Ie46vczuwHMtH9EhHzDKD2e1oCyYiz
Zl+w3G57KQARtKN+H4adA3YTQ0HVZtV+wrn+0LLirroRa7zv9/pe5d1j1IHkHl3dOYiomvbtoH7E
fukGaRTzxWIjeGAh1YJC+P0VWzn3MJBudNNEdcb+tyrfupbs0k3eyp8C3f/3xms7BEARIvOflZ6m
+qUhu/DSG8J0Q7VkYLA15mNnauO01oj08G+SXEXmuirrelwJgpXtXV1SRl57sUJZM6n8sSz8EgXS
5O/jZDHyUMJ6RAH9Oo7oi3UIVUhRhDro8/CLIO6ClqVZrNlUcUiqERMRz5xeFIlvLKjaQEOTdmD+
2/AxnacCMd3aCmHksivMN5Q7fjUk5G0qfSL8OeX7Og1D0I3Oi8sRZEznK1vp9+yhHCpnlIm0zjN+
WX4+XFqVLbZOTWANGB51G4VG0Pta+BY7wr6D9GbeN6P/Vo+W9hQx9b6S1qXijd1UNa1xNYabxjOW
9Ay72uv+2AFdqcsNQDeI7PgRzniUPlZBycCzdD7QlLixwNP6+rOTIxrfqdyE+qtbE+VkFP1XKJ1z
EDmcbn2XQv7ndddTTRCMwnhrgFMTsnJUaY5UrRvogbhc09qPtVnvOQEAm4Dpe6bd8sFUs1TuoU6Z
FttwOi76cWV5nv9T1HbmbvjVvBfpp7D7DT50XGkkfuCXQO/ieLP+EofLiXKgHvf57Z6q3hNI47iO
JfCgfugeuKKd8QIodPmRdW/DA7mWEXXSz69y6qHyCpcatk7j89hda+FJ6ayCHsx7O6QnIQB18TQC
AE7lmfd36oYshAOeRSQtLcblp/zR+MvIXobjNNBZIq58g3buB1miPz6/nXPXOGopJTaAOWarChBR
E6ej9pZXnHO8LS//uOPB+AOAxFC03Q+Dw0+9QZmtCiQfsOuo082DCYuR8Jwh+RZrtFqQKOkLhRRK
jUDth4HvXGvn49QTmJKpozL/fM4vy3P441latkQ+WPlwsA3IvC1kpTWU0/oq11KUP9IvN//0uXI9
MpV8FlO82Mdzr2Zv5U2YfoKiHFmlnOkeOJJ7Zj35OBYFPXTgcNR3TISyRxPcj0i+JqKoDuDHAq6S
VbLGU3DlphQ0P7+dE1fiJjzbBfSBr8k9GiZ+kyTzNHlVwNKGaklrLokdepQqffr8Oidek+Fapo5h
bmkTv0dF/fGaHFlkwlduFcyJvlX5i+bl6zQrF8HV4fMrfSTIeeDq/rjUUbORg6qzODewCvU+1bvS
ilbkGv07YgZLVl/OXydwz3vQfaHa1FbrbXTYm98d9q3bdjbbbUoLaG82nKULJaiCFRaCL9tLJRQ2
0qyiIZ6vw5zNoFWXArEoJWM2V+02N8k8Org9iYND1VHGmvDtrjlrA2xykvnMjUJVPZ5+tDIp7utM
AAPvytHaDL1aE37Z8UybuH32i1K/MXrvy+Q4yUsxd5B285wmSo4SCa/7ziX+iMaVc+HgC0ps2jNG
LTPExF+LkN1R68TI/IsvcvBIMOZ0WVRZvW0Qia/qBBB+qFKBDnOo0Gj1cM21VOvWo1VZAQ2uYdO2
ePS4TrrhHO9eZRZahjQDwjKyXm/8aFjPbjRuyB/KfZ6WCQLHnxv9p7sIuz4fASfGmomfHwUH3yy+
+0u39I+xFhZ9TRt24rmkcN17wxcXvPUxiFKFSJ4griH4/IIfO79CYFG2bBw8EDyOO794Evp+kEUV
+F4L9SupyO0FDnPlCNnuQy9qr2LqL4/Q26LLz698YvrS1tYXWiRSjw/iCxVNvRZ3Tol7cJq+9Q6J
JsToGo8Y1dPXzy914ibp8rIaceDhX8c9dJojbDqnrgyKXlEaxdBBZuhCUcdqoi4ckpO9dUOXDbqr
SeXu84ufuE/2VQRl6O+E4mPruUu6DWfPsgyakKTLeiCFcfF6kx+u/vE2wFoWKRI1UbX49jE+hINg
E2EczQMsR8/TRBy6Seozs0iIfzxM2W4gmEIYhQzjg19cQlHsor7LaS52w2Z2qL6I9HYYbGfH6fP3
P32Ali64MdOwIDCQx/f3nIiSXJZWXnNbdiEC7LxlRSOBwm6Ti+wc0eLjBORibG3YGth0tY4/XzUN
4tjpCu5Msx5joT1jT/udjuIRQeCZPcgyl//egnAp9DkOt8aa/+7G/mOuEzSRTKVGNxZb4lZQMPEr
EqPdvJ8h5+Hmyc1zu9HTV4T/g4xtmXTHnxdLuh6G5Cyojf6Q+fKlmoxHoQiQ6mCzwMo0r/75q2Pj
vRCxgVrQ8vn71dnQVnDfulmgdd1hyvvAsjJSO/Qzl/m4YbR0G8c6YCN4KOaxsqr39DFJ+KsDglMW
QzjgMjnyRfz8Zj6uIlzF0NlsgHJwPpj0cciMRGMYWaAEx1qOe2hKuze3dO7TuqWrRlajmKozq+SC
Q/8wSpaFA327DZnhGM1AUAIOgBhVlW/jYx9yn7N4KTNk5j6turmkk9VMS9QyhjlCs0CDSmrfurtv
xzq6yGkm7cgPeZwnu/6CEBe6gJRsDpZtQb2YENDGOF99E8gDjkD7zK8/+WKWICI6AniGjl8Mfck4
p7yZB5Soym06kW6vjRQ7Pn8xH1dYXgy6Stc3QBN/2HIWVs1nJKryoGxdCGlVH+iZ8ei57bldy6lX
QQIYqkrAE5xhj0azm4tS1iUL0SgF3ewwvhgdfdx9fjenViCHLQD4BQ7lPLu/rzKDLRqjTstQEOBo
6V0+UxgA0dQ3+U/0+v98F82ZEZkon4yFkXR8QsX77kB1ZIpOWfh7eXYqce4LFT5/flenJs8CRnaR
5HIwOB7GY0OK0FwxefLE9u6yyaDOHtq/qbhWOxXZ3q8hh7CDiqU586k6teYhJLXYVyMZ/HDooX6i
x8LqsyACTtqWGg4KQsTTJ5nOD0zEM1c7NeA59pgMdk6WH9SCwBDQkWFdDmQks33h2O79YOLK/Pxh
fuC1wD/SeYjEz1uGQOZ8tK76nTl2NnW3wOsG/SmJ9WpHPBGilFT0OQV6d/iaGl617qq2v62nMrux
c1fsYw9h14yJje4SgR1GjcccfwZN2a5Lz51ujZNP3uWEzcyEZXa88VFho9tDUfC1GS1qhW39YrQ+
AHrhNReJ6z0TlyTXLnk0V3lJOnY29GRT+9WPmLbu7Czuy6GwLqgi+Stn0iRYXO7j8wd5Yq7R2GIL
6roCtsDxBzF3+Q3JyHZ7KOffcjbanS5RVIU5Tezp5fNrnXgcxrvQ0F4Uq+y6/57XJvQJHZQ/W/vQ
+K1TcNgUtv7STASauCS2YtJy2jM7jBOTzjAo27Oj4Yv1YYvdq3waVVRxe6n9LU4iaBy07ilmqnkl
cGd+rdVQb2jJ9sE/v1cYZf5SkWKDeLxSWiQgJMprqoCz2g0eP0J3VX6PLJm0tyx6msgEPbP3PfUm
2bJRBgDC7rOUHT1dh5ZDYxHzrulRvYbFS2uyFO39APQgKBwO0p/f4YlvDjfIHmqJiWazeDQDi1BZ
cVLxaMc+QsJtqWGj11W9Ecji/ptL+bjfPYcNI7iuv29NulbSFiVHNMOvyjugy7g13da5TDrDOLN8
nRqjggm1+BAWyfPRGO3RxZQzlYGgKbpHqB6vtl0/ktGgVklU33uY2v/x4YgFDNOFCYgMHfnxBDRG
Cu5mM5fBbM4Ifdzhi+rURlIHOHOhEwsz2mLdhm/ENsT0l/f5x2Zbzrj19JAjYB7Zz9E47r25fjwz
JAR/x9GG/q9rHI0JXyOfz7K4BqpeYwXBVR5A1NhfzM4BIpMPDU9Rxxo1KAltLI2+VoOCc2vTsOlA
uFL865BElQntHovcIk0YBsAG3NCJaNWBzK343vSJ+CsnHFqh1Mt90aDQ4HQ7rdHChRex7aHW1kfM
isZCM4Jqa3yZ/QLFRWnA06iKRu31nrAWDlBjdAu4ld1htZjD4YLfxqMb7wl7mS5yDKM3vYiL615T
feBl/mNSZc2aJ5ztCmpFpI6jFgpQKBGOMsxyG3axjWIwG64qSyRQjtJu9/njPTU2+Yq7BuNELJTS
v98g6JO6nRzGJlrBl3psX7xY3lpC24miwlQLrfzz652a4ey52exRvkcZf3Q9O55KsrCnMgDdvdSc
bgYzuxja8szm9aO/YCGeovBnb0KZzj+6DMCRWKjRJ4BPz+6lTBTCIe9XnX2lE3VNV3rd2eaPSJVn
jkzH8Z0WWwiuS5WWJ8rh+nhD5kswWHKwqYlU0/wtJoVv5SlLu0ftrudbGueccWq7gEeQ9fUmJ5yC
DlfJQl6b/YWN1NdOB+1C6J22M1qrXIeowxhwco/xgzaWn/60DYDkw4geCCRNtPFbgwR7qPmbyAgf
zAwfvzfb9Qrno5XhKsSel/J7QD/IV4Tfxh15nsCsRyx4OLr434vZXsdNm25d2AVPtbDPvYpTb9wB
QAvlljKDWLKk/lwjEr2xizIjCxGA2ER3aTUN+j4z2v7MyDq1Fv1xneONUS97Yi7BXgWevZCTqTes
ifbYfj58T30QHWh99BXot0El/ftm9NqUVQ22KaDp5K2nxbKow5nPIPDHzXTGdHbyYtQrObOQpvVh
2+soFqMyZ65osUOYCOAEaD87ZGAIKtvkzOM7tRA4lP35WmDZ+7D5zadJOClSikCl6h4gGvnG4fRc
5eq1TTBvxc6ZJ2mcGhcupyQOsHip3OM+zdzInOfLPi0dc2gis2kcvFkNFya1+E0ltDiwZI3jW/ri
S6KHcTBFKJujKiH6L/KynV9Z01cXXwAa7TACWfX5mz7581gQKSNRv/WPF8ZhDBsti9nmDLV8FX70
FJv9Qy5oJv8X13E9ToocfxffzN8jqum1KZaIcgJOopJqTvtSTtqwqTp15kN6atu6oG0psSz/5h7N
QzH4yLgRYAUtwvG4Qec2lPeqsgHDG7ekoz0WuX+mUHFqAP9xyeMNazpbOUIdvQjIDdoT2/DqWzkK
V+egqv7MmUOcGr8LiJtaNLhtakl/P8d2CTeYR7dgmTGnH20s32ACkriaG96a8m20XvgAhALp5Tap
F8GxZizyLIXyB7TRMyle8XNYQ7XqTGTLWFswG8SteiDVF/xvmeeEzzTebnQH78mzWTUBWjWoJrRm
JPpmKW1W5ps+mGja4SGMUv+RVt0NnkS5hfb/mnj9sComkWy7YjIfJMpLPvamfWY0nXoK/uLUpcTB
uD1uwOa5bMjilez85Hwxt7OxanXrGfP4JTVTQpen4cwFT73ixZ6BY9Cl2Hr82GVqRFPNZihIapgD
veyU3L3TCUQEXGfVLMLUzyfMiVvku764jeGws3M/OpP4zuSBHBF5AKXR2sZqcq7LmB3alFbNcwqn
mUSq+Ofn13zXaxxtQtHemDxUpihH26PRFWlTTmc2LwKnmP11PHTOgxUb/boUk30ZV3n+BIMN9oGF
ZOtdp+zF4B+KbgaIhZZorw3g/M48euNEERNVAlWfZdV2P5x9o9GeZdgzo5s5RM8mImuHKk3smlA1
e5jLYsVIQT5lg0EkIWk90ZNBfm2dQxGLE2vl4gtHjgEzm0ab+ffc05FGOEWbFPiWUzAq7+LmRIC+
QGBZ2pe8LveiTZEk4rOAUpZTRDa0gj4qPJH+bhCDvpumENzEO1++nfVvbIvLfTwwpLBNkJY8+vYe
Xe7rhCKTJbvfWk4abxEMWhullW0QO7W7HePO3XjRpVll4iET5XjLtMWJMjERnmOv8w+57n7XgYKd
OZifun86YHjQ3aVDf1w4otyW5k0ruP88Gx/AlCJIc8bkOTG0ePf5SDx1KdSXaA1wo/PZONqA0HSC
R758loCQxhtZe4ulZ5TZwY/z6Pnza72/t+NRv1R/BadXPoPHx/9Sc/JuKBIOBz0wnhUxVBOOj9ky
9qGsehiruXFpVHp4147mcGOaWnRvthrcEpHLvSzBubz/oP/DN5zBNyxNTo7F/x8lcALf0DQvv+IO
iFbb/Ilx+M8/+T8YB/9frJlA12l7CA4of2IcxL9sVE5U0TwbE70tWGz+h+Ng/ottA0OAf4xaGrvR
/+U4GP+ivsfmlIqNs9iM/1EK4cexvTRZqWoaBBLy646WEV9MyHGlJgMyNN/iKmLZ9KpwlXgc7/94
Onf/HsKf4hy4F5PCIDVUlF0fTr05ueUWbFquZGLbQD/+Q5bVuCIRpjtTITl1T1yDai01NNR5y///
R4UkarUQ/Dq00nbIOvAw+m3Tk3Hn1POZz+KJC6F5Qqq2LED6h+10z1z0KzWDRW2ytyzP3ohIfUv5
z3/85LiMzTGXgzXls6N3hCYEbYk9yoDagL/1vbpeLQkU62xM/otHx1hl1aHrTv/puBiI3bOwsFRI
mBuFuhrh1WIPNb0rVaZnbsrhJfy9zlGNoFLGmU7Q1Dg+1bk9iGGy4GQQD3CjnG76MkXjE26cJ9lD
NPr8CX7ch3MxQasLeYbj+8d6ArBzFXOzkoFfN3B2mgKTPqSyVaUlL6CsoTtiF1wZE2bZzy98aoTQ
M0Rg+L6FOX51jqo6M49LGcg6qR46JL3wLjHYoYsTZ+bX8hX68ECpv7AqsAdlVv896ucu7SZEL5IO
NSQAKLHTlkjN8OG/uKE/rrLsj/6YWx5bkV7rcq7ijxg/1fjUFwTjEn/5Xz26P650NOoHYjiqvuRK
cd5NG2dMX2Zw0uvz0+ujvJZzINA9oioQZQCwP9rdRh06bkuj1dVSykTg3lQrEIwAzoX1rYZihyQE
mqCXxubOBtO1RlV0ph9rvye4/P32aLJ5HoPT9S3kUst0+eO5VmFhe0UlCz77ZrWReq+BIZfteDdb
xbT1Q73aGL4ydlic7UBXY7VJc+FvRW2Vh76m27geKggsHg3XtapKRONxUgA9DsXFQtfZdW72NiGF
vYhmo7+WLpRhwLeNszL9ql5Vkj9CtFux1bPBXHd8tAJ3rIv7Sfnmc+aa1YUdpuGPvuinzVCMdhC6
WPWrCejWkDKlMnfEtd9MRKutoAp7m76OrIu2pVfeZXm5ZTdaPmBTsw54aYZfdciHxmgdfjuGn/sp
tapL6MZ9uo5dL662k5WTfItJkA4gv0djn/RShNx0Bul2V/mRvI3Mudq0iM84b4owJNuRcBo4LaKF
+omNcFfrqLHTGq6WRhrAutC5u7lg7YRq3a7dtjSJ1GR9i6MEfxemDvyDBL1yiq3gyVK5PVhFn+zp
MFWXhg5d1Cvw0Hk+/HsSSc3nKO7tyzEy0h+RV+VPzpChiWqE/F47hfkccu9y5WI0/C4Lq5v5TX2I
MMWVfksS28RyMzoWZl7NUvlTM+CiBodW3ENUa3+EPBrcY7W8dbr0TTd4px0uimcSnd7GZggfWmeu
LoZldY6bprqccrbfO5VDV2F58fMYo7wzfkGoal3wUWnXAP+TfR/lYsVOJFmc710Jfgw978rqouQm
EtKHvxiVbw6Ejhsg3zzELqeGaWqD563eZ17ewC3AKO9dgRgvtxkEkGeK5UAXLJChRS2jR2/GVARv
Jcl++Fgc4Y0OEI7tOC0wUxAggr9VOfk+KU1dXhtdL/2NE4f9tziUmr81jb7xkD8Cdl85eqmuAOPM
zx72gcexzIo304XOzj1OW1xT4UK+rAMLvuNTxeR+FDCW0jVOBtiTyrLBAyEw6TGgjYV/pdA5UMo1
eQVtOGbgwYmiIPkvyjSaiI7/1NSKaWdBJ1z3Fl/ZGe8mFhm5uHzwm8RPNNyjnu5Gmb74VBx2YNT6
awSuRrRKfODOTR+OXwbl999mNWd7FNEtHQlNmckuhQUzb+fUy+oVkZhDtwK4afxE39L8NmfmlqWF
k7HJB7v52pNv9D1Kofu5U84yPlb8WNVp4kDcTkLI8QDB28h4E3YcZT/qyCwP5A6XWzU25hrk6hvR
pP4VeZziwA+BCYo9bKNNTT1s4sKJb3Bwj1vSgBc7H2+oE3x9EW/n69hTwO/IinhIe4XHL5Zj/FpK
3w7KzAGm6sRQTC2j+yabifDposKz7ncMhBm2NAaaBJAoxfRaw0PYGPkee+5r2yl3EzfjAwj5oK36
n108JYeidMxtF0Kg5Wvs3scdk9Io+Vm6kffXfav8bZQxz+kxhyDu3OzZA8p4iYNkB46bjM95lO26
GLImw5CaJivR5gxqVsXxLs7ltCm71L8V7Gt3tcaszzrSoXtiMlaiAdsyK1Y3SLv9/v+xd2a7cSNb
l36Xvo8Ch+B00TdkzimlZtnyDSFPJIPzPDx9f1T1aZSlAxvV1z8OUDDgY1HJJCN27L3W+vR1668k
n9vI1WvSCvfGZcD8mk2Yv82h0+kljfqjAgp9mnqeKETE4ZfeC5k8Z3O5GZhwba124TXKiZJFlLHa
M0RDhCouPxHEZMXc6XZT+1LLXi2LhbJpWD+wuTt3S0IKgAEuYhM6UAywh/XuHS7e5kofSSgiAYrH
kDjqmkjyvN8omDVBbvTlxh65dFOWzSHBmBRgphi/xYwQqiIr8BK2uB/RPG6bJLtB+lru4pEIjLjN
q5u2Xkv70ijPmV7xMI11DBM51yVzDe5OEnqwQGzQ2W+rLnyLly519R/ayGo1rM+IpS36JQ275KKs
KdoNoM5Y4yhmfCE6i2gZa9cSaRDgO4NDbC6siF05BcNil0/JxB1anLAgWNtpAjbcEaVZx8qdaU2D
ZssuHocqCglALArYQH1+1/asPSJi9Rg9Xvp0gAo2gKrcmYT5+1ExJBczNLSvnt5350EAWEjL/sZN
2+zQ2tqwVzFNx9yLxHXXJDcmRKjPQqn2Zp7i7jpUyyf80eMnN53djTsjaZWLbh0WCDnbIoYGSlZW
eJulL06N3zYx459ltPpRuuSJ9/m5GTTSplEhkpKSEzGumQzx5pYw7RICCIv7V2GVoCIcNr21bXYU
SQy9pGDlbQpWHC13dRIbdcJUF77S6u9FlsgDmnl8BzuOf6R62wQHsW8XAV6VqT/QvZTNvog939Dj
avS71lPkamcZi5ninFnziCgvXxF/6Ur50siZrpx1KkreFeyKegEuXpk0aMyo7jSCSMZ6DZgwntrc
yE9jbcKQcjqtCkq3r09wYftNr9M9zTZhPaEIOs+jQUgsm0/WsP7lzhje18aIB44oV7zjMhny+AT8
1MS/TuLJ4J7kQDqoD+XXhBHLcYBWlb9gQ/jZziomMWRI8x+VhaBCTyLnOLlOpRN4TToC1Y2lAQ2Z
WNdnd22EkEPSdbeF7WA7VhKXf9C6kaLdFzdyQ9KSPuSsPe0XN9XSLiCO82FU5oQZV7cjKoQ5lIlf
OfNwKjKVbkjO/SrdHsqDUoQLAo+XFs0jw+b9YuEY7sBZi5VIIgA6OKBphTTmPe+pYfqlItykB/96
MGokbVMdvqaxlZK4ZaRkq9COJpCDlF2SWC+AXAl5mCLyswpp9BCGM3O58LpG36LMQT+W6q3wM4dg
X5UJcUwmS3N3TpSzvkmb5VtGVCcc2OToj/jyrE3FBz6k9InywJ2tP4GpPvYW14KY1D2LkSoq0fen
wArxPPFzfXqI81ye+qHNf5YmBlN/7MaWUHYIGShFiL2lD6b07rKivX09ZYpd6ZRVSZO/snEVJ9eo
3c1scNRpk6og4H7urbPE6H5VMPG6Su3Wg11QJ5Xf9aF1iFZZuUnwUrmVTh4+YDaSr6ZNg9L3+M/e
FbpzN4c6y204T0gBkkR9eVsDi4JMtmBcUuOPDd/1mPFLYQ4PlFaMpoGSMkyE278W5u1CWlPfatmB
RG7WXmMEUI3JymHGTM1ENFNymRmckb6+UGOlHllmLH7WmdZklODq/tO5+UMrfv19aNigAkTb/UEh
7EQkIqGpyw5NrpO7Bc4oZX8ZHYiqWX8fzmz5vz/xfTio8zAgueJKEIxpO707HbVysPJorDKy0ClI
C8KD2KwpTYoiLs9CEg7w++t9HFKuF3Sgh8FjNc0PkquiodiTdrqK/8lsWrMByk3SgrnaKB4sKHPe
NgVNdGNb7nj7tgXDNWMiHxujvot1SE0E3lmvpGAM+4nQoX97zsaKyawLCTNvCPfl3f1AuTHajJKS
g8d5e2+JqDxXcvzTO/ihY8FVaFRgt8BFhbDh3XmwT/ohtIsywRJG5Wojo0UrbQPVMDyKfDslUmRW
VO6EFw+ff/8FGGun4NdHnvoA2veaYgjJ9v1ZFMKgRHA3Mgxuxyg8ZLL0rkQYel/ynrqU+H9rvvGE
5T2DLntOvbkGgWCN224eiI/ryiJO1sUOLnMNlsDcRl1FLQdp/UDx612psmi/1+GaYy9CdHR/d1z+
p1/9p341IkUekt/0q5NvCCNfi19a1X//o/9glY2/mCPxkus83Q4qTdbC/2CVtb/Q6epkWNI8ozNu
M8n+T6va/QvhIKMKCDroM1GU/7NVTfwZdoa1dclLg8f2X0QOv5fh0tkiJlWiBGEyAuj3/cinniCj
1Vmrn4tKDh1YHsBb06GxOKWTcF6g1yjjmXAMlepipN7EPEGCfQwkofUq65UMusLQN2QKrrWJpewF
3xJ+HKnOkbFS2Lyw4N0CPcQo7x93+vbvd+efve93ayi0mdUlvg6HWTiQsbx7m922h4LVLM0Z/+10
r8eFCCxqpKt5cLQLUSYcS39/QXaCX1/iFYaqMXSQhObSVeKe/bpviSQjyasvo7Nte1dkzhMRlA1s
9XuEfVGtEb0p6oPeaNWLh7K0noJeDo48eDYLz86KCFU5gvtc08YGjF8+kZU0MYyObC+3SBxzWwKN
vkWPrj9mBkbZvQyL8kwWAYY0Gips2XoaNrZfNzAKAwuzdbqLxoJ7LexhugeaxaELsPwr4WdlCznH
5VIevYBo2zjhWvFbJOPi2BS0BGy+ESrbru37HRKRGRBcYjw2uslDMJqs9Y3J3jsj1sUN1xHr1bg0
EQInSuZoiyRhjLZ0VKZbLZYZZtM4Mh51nSROP3FaPhuRIvWLiAkUjOyRX2Mib3Miq9KoXoxhJAPD
BsER30xxzm8E7Nk8ssvG01NTrxkwnHgN/dFQsd4yBWUicUE76IgdgA+7+myYfRGfuqbl+YsgR9DL
Is7hfmkK4xGTrDF9ImkeEqFpdNy5pMUj6s+cmcpjU7mUdwMO5IXYEcGls2rgb6ueuNUtAXwUVNNS
k9YviKSIb8FB0c4riR2L6RKYfH6svdYrYMDwuZ85cAw9qCTfGwEKbWqsEai1+NFaW3OT4OHxLdiS
UdfneGSvPcgFXsOW+2j2gZWscfkJML8RB0dXLw/zUvK1Dqs7+4xaI4tPy/qVOOvN8QiL4fsja+Xs
1YLGRpJ1wglITBmvYziAd8LVYuJDJ15e5udE4tRkbWILgUyTERhId8NvUEE7mxKe9laGTrTJ4HOR
QzVO86PdGd2F3YeDUa5I/yI5sC9fI9VZ1/Mc2c9icPTLOFTZLZFu0atBZ+JA41i6QWIUzmsRpcOn
ygT0s9MXHtl4hI0wjEPnBrFaC+qcyFAgT5NtTVtCrr1ngWCzuzPgptoba3B4bIbG4faOSW43N1o3
WYz/rUgUyFX62gRaPUuXLF2O7FKAusonvrvEpEj4Oau5r174Y65+ogec7pNco79gMzIPyohnpAXf
0AccW/XH2Vi/+SyFzOaLcOS7Tcclo4dJ/OsLd4aXCygEL2ValWO4azVAc58BLE73lI+8CGJxuMGJ
gdBpn5I/c7aMhZZkOLUctgdFw1CFxnTL8KI+9GQ2TVcm6aYRwYQ9V6FDpRaMLS19uWlS3Bfy4KEV
9ATWnUEmGM1juixCPBOgu9RXndGI5naePH6TjHp4fFpyznBPidTy9D4cVHOYctHUdCJN87hAzRj8
Zc65lxzouJeTNnIK8LyIG8EMqjmEmZtNVA2ExJyqGtVp8PYgp5PgiyNXkffYHtaXomskP2UaTdbQ
QpbGY9ILHVSF7sb25ylze+NGhR4LhRvpafnNMUcdRKJLox9pCdcUULEnwvuiRn1p9GaMIH71Uffd
DN0u/dSwQujE8IaL1dyUeVHYLrWNCL2tkxH1tzVSZE4+tkF1amtwhWg+G/2iYE9Nn9w+rNMfllMY
Bg2guY7I4dMGw7jJ2X+W2jd6gr2OYWGAh8HrZWvaMTZMDuj4YmmuCyTWX5JpQWudRO6lQAnx2Rr6
cM0IfHDQ6o8BkM/+aS5nsSX8EkhoWbWB2Ufx0cy8cENXPIHrkyCC0k19JsvZya0DbRd7lTYr4B70
sDnb7CSn70IxBJhBS2Yw36rK1Z5b8GiBmWtfBH0Wv4Oa6adzQapePE7ugUCt6GvWhs6PKSJMHKZE
cUOAzFU/NvW8TWHg3pHGEn2xzKHY5mxSG8o+856hW/FFl3G+MwqNXg+pzATIQ0S59SJSDJ0q5bBI
CnB2nVRR9mSo1vE9re2A0nScv4cJzTixfwShjdXNkC35lUV7YduPTnbHsl59UV4fPwwyux0dbVL7
pibeqZ5J4dGoO/cDOKiHqLWzJww5bbRruqK4wnJI8zWtF2BUXroj4wJeLe5mIgAdWick15aPbDrV
58LKq3ijlrbYuYlWfopte721pPCAJbD6IrAd+DiVPZmQkoacEDqn/Zk04F6yXsqDsfq1yD02LiTi
OXITQ0AjR2ymHNisnCC6oXm5d7N6XqdcZnlco/p2kaXfqbCs9hpSmw2pQtVnlTa0fkCf2MeC4/Cw
nXOnv9SdDB+8Krb3ol1SIp5Q4hEPsLjofGz7IuKuPrNgzwcErvNxFLqHWC0dgZM2JOQZsg/qflaH
uGjtxyEZlu+alqkzjOfl3BSN96dg/3fnWOoTnEr87+1QicPs3TGqLnPTJUGaCNOuopdRrD3V0WQT
koJ+rNKG8gzgszn8vi56NyR9u+qq4sGPSNQ/PrpfqyIZLrETj5Z3qjNW0QQ/Sh1UnUGN8fvrvJv7
vl0HUxuuR6q9VfXw63Vghtt960XhSdKkZk3VGtbsYqperClkwfj3F1tHvtxOHEofJEM677CIKAJP
bkbLuCxjeXzTB4ik97a/v9THQpZDOcJZanEN/dv7QXoNFLUiXpZcLWBdl6Kn9LYQudKG68pzu6ow
//X1oKPjdiT+ziZI4t1QG+cfr22WWwRmxuHz31sQwGd2DKtYRxptQlDQH27nu6M33x0fbhXsQoLg
y3tfrM95JDuv6eSpIXx58Envp/hhQWUHLqaV2LMiW8xA5AN/1mgoT//6IWUKZ3GftTXSH9f5rw9P
WUji1bPUPvV9ssYTCfM46eOf/NgfXwWugnbOwwBsGZxMfr1KFhpjESatfQJBSN5SUiR7x/2jVvW/
XYUDJTT4VXfxYbZud6AvLcFneVNe2AnjGzzH/x+PCXwcUO8upx2Om+/uWFozmiUz1DoZYZOQGIw1
j1z+kYE4kg790lXTsPzhSPdx/WJNZw3jY+Ew47K/3j64l+E8ZrY8iTK0P+s9IfWLNlCK9DgitgWg
QIOM6oVH5PdvxMeVBSEikhnCKjB6fngj8LcnEGqJkE173u6wZJ3sbAQzi7LdPzhr/stH5OFA2kQN
jgD3/WLpEI7FpXLjNBFzGZBTUZ6XlvFkJtfu83qCm9an5t9/PjwILsI2679kZAwaELMY4tAps5Gx
FDmShUxz4z0HnT++6W9dtH90unjVPboTKLel4znuxzdtnXlqrCeMSlvP9ZWeW7jaHC27B0DdXEqF
dodeM2XyNFLXMXib28tQD1O4Y34lOVyUTAsjo/2Out+k6lwKhu9uald/smN/XHhxo5iYIliRUP29
d24UiTUmswh5wnN6pkESJtXLSn1rfZz0PGrKo6z//Tehf3x3Vys9dSWtSARo7/uAUUa/JGSPOwlX
UOtOrsn5gci57rvb6GyZcPXW510l+qXus/plGIiH3piJN93XrVFnZFL2y0oUHpN9N+sgJX//C/63
e7IqJ9GpmXx3b33Mf2hmtLqNF7ho1ilfXIpuzVJf9IhJOWkqReIz/PpTG+fDu4eocH0baOXwiJJ0
8us7X0MRpugnqxfEGvGymmIkMtcFj+m0jjd+/+n+28XoG5FJQ0LHx9A/pBQeBmCividMnreqIEBb
a11OOZZWcUr6/cU+fNV8MtTUUl8N1ixn7+qiPBV61YbaTFK7xcEySjqeLF5ETom/v9D7FBCksCyX
a/GAnpEt/X1lRBZ9MtmVM1JBNHF7q3GG6wPhth0+QexW7blSA50QGUl0JmPM1C2rSLGnl7xug2U9
3cdJSp9AjByWGPYt1cviMD/WhE0ri66XudNI0+F4XoOw3L8BJLqi9Mr83y7Eb1kTjMnY1xB/vi+F
EpKxKwdq6slYmB+PTCnOOSPzfaTBQ/v9TfvwoHMpngHJKICW3oeJSBdpRjdMcXNqkBMfXWIYMjLj
YdcS5FKeV6rBn/qH6+71j4WRnj/rIRgl/gue98O3VCw5MduNJU82kQc/iB0YTo0Mvee3hojtEEEJ
wywD5jtNxh82AOP9IyJXkSZiTZMrrzNIy/z1NZMZAgN0Luqk63SSlo2mXBtn8Uz6pWkEuMTcr7ae
pnIzlAx7L16EFIKY7yg5GN2MkoIw1Ple63O6iEu69mtqMu84WPQNf14cnqMmt1u17/n5tw4Uu4Kf
BNPl4KEHYkycQgC5s1TLjH99vKArUT3MXUNo/AA4ufUNu8WYPE60xtqQ4e05pXGEfqIeotUMwQj4
mnDUtNlAs83vRroNl8buBMjsxL4lqUgse2KlGe4OXbHgFa8NjQxmpZGm7Fg9jB3wxVddCvUWqRmG
702J34cD9JKciP/VAzlkFsSXXo9rQmT7mpxJet/aMJav5qJWVTVwGppHfaVn+vcRIDJNcaF4X7yp
Wpuhc5TGt8M88WcHiG95tEl8x7/SkCd/IEWFU1FRL/ztUjv/t/iE70rnxcvWuqaueNfiIrPmn3TL
wS+nEHs5uM/N5KXHyBXTfUVmf3yLSigj1zmqh+6uRXyTb5Dz8HaXel6l9+WCnGTT9J1e7xhBTvcp
UV1XkW2X6T0igPY7HAw+xYjaY/lh2kUvr5taX1tRI/HE/qQl/EM+uvVqjfy6DxXCZmaDhpJXA3dz
oKPR05tLYKlOO7uauTx9EDpX3RLTCHfz2Ta3iAf5iT0yNBRZo1kc60n14mGCZrIEdbqwa4HwlrRw
4sxsjZtiHKzuXk/IQt+kPC7xLedVqJz67IxVgHxPHoehaeEV9N0ggqUqKrLBjdXJvkQ8QQV8YlSX
zpg4V3II9fEYw3wK2Vd15Cxlk9HTckl0W/YTriHDZ1pOl5GJ89Q86oXVZHvgRjxg+K/IVRZJw97w
VgfQs+fpWyKbVkNsM4U76bZjzmfyaCdyWklxn3563RLeugto6b9bcFbW88uY8aQ/SmVYr0kYx+G2
hdCEVPrttbJXyRzMDPM4OqZyXwtiN8iQJxX8UZ/0mCkou2IdGB3ChqCxLZ6i2rVXsVlmcV+Ndu2Z
m6rtvyJOHofdhDDx9u/RDAGVr6FlroVEJKnt3NJB5amrtRPb0J73K6I3DhPEmCV42/4cu6fJGNO7
cq4sKDaLn2rJpOAip1p7RufDa5pXgklDNkturAwHae6UZ0TJXVvU/CK6Ru9kV2VGS2a1Xk9f+skx
xUCjx0rTe7ckY+famjL90VaqkAH0p2T+4QomGVv04oa8m/WKLnA8UxuTOamPTs5+zBgA7HZMu4Jn
RTLNQZYpO9P5RGGeAoGzmq5kiJsBwRXKD0OEAgFLuAX9vGnp1s8ZTckdHbTFpSWB2uyUaxrJ8JAj
ps6lQbb0gxr/3vH/Z076xzkpb80/tt+Pvp6kKH60Zff666D07V/9Z1Dq/cUxk4MD49DVvIAF5/8N
Sp03dw7pU2+z0LcZ6n8Gpd5fZJ4wVwf0uB7dHDbdFi5B/L//lzT/WpmTFqpi8hmAT/67QSmJI7/u
34TwcggmQYwDw+qmfpO8/6M0NpEF5GQZaOdCE2Vc98BfbLGZ9CIkzVafqm0KvrX0Z3MAvjaRz0HM
d9WZpI9nDvCKJSmYM83t9YRkyitRVSOWm5ZMymfdo7rajK3+NXKN6CmfeidIItv6NEjZXRP43t0u
eAjDXVIqsnFKpI7X0chfwmSYvGovVEzuXKeKs6OmBYErpLamM7+KUYbzmWnU5NJgMbqrQXmyeDLT
sHeuWoA0Gvg6e+wRaeXmyq1bh7dGOzEbKzXfU6jm5pYEx7SdN2ajmSjJzf4FNefIrKkfcnGdmom1
1gLEfexSvtsH3LK5HZgGimMcm2HypMczskLmXzBFEkV7VdpW+x2/cv1gy944tk4X741JgUhDjwjU
LAlarU7INqOtv1dGAgrRTG9txQTzwP/FvJ4RjOabbjITKE8mYSMok81tp4vXKYUq6GoqH4/sFmwU
hWduiUz1kEu64AhoVNbWduGYea9rmXU9eMyj9K539GPveTWn/sULn5fcdR4qxwofm2423CM2DFNs
VFtZ2TlrJSszhBD1eRibmBQWwwlSJF/cg2rwayLzT7ZXZueucriXfT4ma2UTMhue5/Hc9V3kBiKq
4q2T2Mt9XUQy0fYhHK5DqtsEXTR0i4xuxAUMuB569TzExM7XaufOYXiQZW58rhZzzkHniOXRy5xM
+l00OslBCs3NnglW6ouniPQeR9v27LGT2JJC77XtntnIrLXHOLIKkn9VZiX6a9QuTcQ3B2LGItVj
m7cyMOpKXgBLjdtJC5Hxo8o+0rsGEBHa0NglitC0HFWQWE3ky7LOg9j2OgTVXev6a3QvMAXLGLcZ
cAWCc10SB4XzmE7WJreMY9Q319YKwFnGxQfje5H1UhNjAqdlAqfppMWuoDJ9EiK+m1Bs+Q2X2SFP
Bso4zC+6NsJhc5JwFw7zA930FnIf8RiLXaurOhfasbJkuuvC2jh5OGr9lHJ22wpEtbmckpOklbQb
3TI5i2xejhpcJL6gzHiCKval6FwZ1Hrk+EDwBKpUNezKwum6E4Eg6khV9rWhmjg1kCDPBGb3m2XJ
SX2u5j3js6CVVb+TS8X9EfUmyUURRLXwBFJJFUNJin9YS/0ZQwRQdqYPmOe0BRVek7oBfsVxg/gp
ugLeQBhHQlRKTQZdlwhYZGWi+4wZwkA2Sr/lt1dnZc2iYfDYVUcEHv2PatVou/BQ0DjG4wGaEv4R
NsgiWrpDWdcIV62H2szu4TheLXpIXdprK/jxMbGBoGitd3Ki8b71kiMHFWPjavM2Utz9iPRkd5BP
bV3v3Xm6VhAZfM/qp11TZTDlQoZpUSifbZTJKw2j3eh59iOTWgPiaITIB33nIRGEXcDECbwOGkbN
WHmaE/daVujdVU7gvka2tk+AiLyD/sZwa2oKhqPDyLNV4b3n+7DJrc7bQMRef3Cb7Nvi4OGlyPdO
UJxIhG6YmJGArC6x16kDGql4w1uh30VxfTdAOxEuH2opi8vkSvWaratZ2odOhQepFeeqMuR9YtT2
qay6OOALo6QhsgOdcvwZRCrljDH9jLtcP0ROyxElqTOfEEiilRhcnlCtmduWZf2uM8fKjxbbO6bK
uQ/t5o4xuLZjmXDPpRKjE0Bm6z6xrvQbY3DCwa/MTl2UAW6u7tJur/FF7bSy7ploWfG9OU3edTNp
qBtEB9oO2lFkQGP1ehTX+Q4YBqxBVTmEwrb3LcQh7lDs489UO2WmJr9eKV9jmVxSM2Z3qImtTnVS
jlX3mOFB2Bn5Ej6M6XhdiboJJhBDT8hanqzIoz8vhtd28T7bkXE0esvmOe4rAp6yyUcXuGvH5lja
au8ZKuQu1vJi6FG9H93mWwGhZWs1S3sgxeKxIuOVBzhlkpHH2XC26lG7xLp533vVVdbGz3YK48nI
lq1GForPSrvFMvNFeiOjV2kF6bqWVsK9dVtz3yZqup/46pBYD4S5sYy6X9Iw0j9ncB42jenwqgnJ
idUZrpElbwE4nTgddztrqI1zYyvXr4cKDiRpgnGQzpm7RwW+HOOyO5BxcBqSMN13mZYEkScqRpVi
x2aWBUvoIVBFK8yxUPbyG7CwjgUbVe9lXjR5F+dScBJu6uusx08yjwMYSWXFX6vJlsFo9FdTUrMn
jNmTLodDAdnOGxY2VuVh02m6B6C3F6xx+bdhKgjcnj8rJ822A58H4UCZBiRXJOdhNo+ITfSdjENy
ySNQi5cJyNaA7LyuNj2nsLOVWNFuFubst31kvoRlX8Eq1sFlCYaz1dZNWZmG3CxuIzGghy6b2A46
9rUqIXZoLi21Id2u2hV91V8ZURGi8jA4vPRa4oemeIrFuG7PY7Qpbc8XrnUZMfI+I9YobrSoGghD
nzOJUndeVH9fKOEevTZdTtNgPslJq76SGgZdLMzRRuxAVJorblInRk7Kch4O7LPGdui8b7kYbvXY
QaEux+6+tYrbsRCCAyRQnDnub/Dqfmobs9mBXSlP9WJ/cluCWaYEHKZA/ELjctgYRVZ/YXmVhxGt
+qta9GaLDgooI5G9W1UO8d7ObBh4QMOCPJV82HZ48SLSiQrNFdfAeNJnDGajT7yK+9MmWXPTM8b3
rdjMXkvXmR+cUSAk6d0XM7WqIHdz59kBpLYRoa0FGKzUYxEVGnoKmqeeQ1yEaWK7m+T6EvGFKd+c
zHRXM//mvebXizjBbHP1vWrSr7MmnHvPK4ZPZjsAzerjC5Y0C9sBW7ajKh21ekLaIIfiRvqV1mRn
5NXlQfW9pEYoomvdyA5dGqaBsJxqy4CjvEccUQMccuP+DgqRe1gcu/4kFu8AE2l6HPCk7UBvekng
LWlyVXTd9zp1v7E6Z3glbW/DGa5/SpR+tgvT21cefhsLkdcW+xEbBIfrDcEmQxBbBu0XUSoDpQWx
bwQK11dKb+G5de18leMJO4ylPm2cuP6WRWR2g99N9NuqGvQHFsgWwVhvAkC1uzHO9rKI0FXkMmXz
akXxUjO6PEdAmncZteDz6qiZsVhk7moqmM2HPDb1rzRU7K9A0cBxLitDNIzx1dA2B6HIPTews6F1
whGDL/Hk9Ivwkx5HgWnchBxUTN7booHvHTOqz6k8MHQlQxQToaPTlzw3aCR2aT5ED7Dg6GVdU2gF
eTE8N95yRNb+nTGWva8rUs1y5mX4s6JVnAJAbZksz2eT3POtnSwloQ5ykt1kZan8SfZfhk7iQlqq
HoReaEIqw2TUhDX7X1oeYllU/hxWnY/OLTuYCA38uFE4MGCUh415UbEykQnBRskq2z0ncY6MsGPe
lDoeMrN4lw3Qt8gskXtN/9pnMQUTegjwEOETXafcz2pjEwpp4iSsSCO0GhwlKmR4OxdbpyYjqOC5
y7HH+QzW9KAURYXde9igL6pZThLLR0A5+G2NxXdJ4y+jBzOAAn8HiFz4uVc9YWUot6QooAxK8jMQ
iXmjdBcR3URpiLYNbGDkVOyJWXksS3nvIS7Z25H5LSv6J1Q11o2woTjnnFOMzpp3EzrIoKm6TSVn
aF2V1VyLBq56swjjmaEbDK4sz5+mDuAYvUy2uhmcj9Ih8pkl2pCYgapvqJLOGthzjJcootBpBUkZ
Jt/TRt/okwMNFfHmdspsf9aINrQnN3xy9OwKy5e8NBIXal8XPyl+Wz+N262uljKIRWrwlQ5IHduY
SKE+f2qkAoSFSXSH09jbSnLYKLpdSPZCZddpxOIyY9XeeZpVX2w3/Kq1DQl5EC728ZhOd/WMFNJr
bT0gzYeqR8c0oVXqUkxzf8EnE+QlzMClbdaeiTZfcC+dBIHVeKJKM3CGgQG854xXTH2/l5w3Ml28
GO7yGlX23tHb/opj7szNSFHWLMfQTYctqrR9Fv8Ubk0ys91qV3qrqkOdNrcgNM7FFLM8xrUbIF7Q
dlXF8RYxnbk3u2FvlJZOt0qd4T2xgSoNu6n7ZDkxsT7J8jo5/bewj76WZcrzU5p3fXftlOFTOSxw
aaci+iKEQX66zI5dsixBZDpXi+d+disMe55X7lM2Rx/SbXUJQwPPUaHpV1JWd4pwzEC0Sgu6Hs6o
n7qRhs+uHCnPxG1v14Prp/m0sCWokI/LTlAjPaji3eySQdzwBH+Zm/iHmWKYMMNx9mPTaBt/lNhu
/djKX7JSES6ZJHpOgLJBcttUmhkFXolB04ib4m5EVnkYxFSvfth0rxIRNUFlNFoclJgxXzBXINOj
+ckhp6qfxt7NaHTGw5GqOsVjHhd76RVyV81LdMaabO+aon+cmwVFdendeG6vbotE6D+tpO3PS5zY
p8p0m4ORzempL8N5B0O8eZQF5iu3MV45w6vrtJAc8CPtBhfOEAxtGV2ZdOyCHgX7NS1jua0XElDN
Ese5gii4Gxwpdh1TjU2TRBQABZqvwpSbCN0gbmTmdUnbrbS1WTDegookCb+3K2VujTgLb2xkwgQK
zV/dnDZ8bjiIdjPuGEUtkHJy8xo1H0kURbY4Dhfkd5QVbYwQNfW+4NtJNrXroPvMY0S5lVVQBjXL
Zkz58a2H25F3J4Kix+OajzsCjIiCBMbKDEXt4lLLjtSNRycvUGpn+bBbA4m2rOYQIXOr2Gb4yxW2
Fw5T7n2vhNxzFKbjYk7qZUg9+H6h1NJrtmp2oZHTwmVuvTN5aa5fkea6MUDUQ9/NA0HL2y91o8Zi
3Gp4S7Lk0KbgMJsGzC1KQu3cpXV3akvzZ73012TyQ97mbGEsyUVndd9CsM9vVcPXWK6ERi81tnqW
jYFAVebbZdJtUvTc51Gq28RA3JiW+XVkO8+l67V76uuahEEe/3aadoWu7UH5DPjDLc4yZJXu+pSJ
gkC4ifCx+7GUFUrC7nqmf+83c0iH20QTDMmSeUYR5CIv/LGL+XgZ7RqzDdAWsypbWnggIww9eFpZ
FC3zaeRNDfo1IE3rO9ZIgmUhCAxfB0d9TRzr6Mr6dkJ5fUza2dhwhDyzRD8T9lXsZD9tOWrxJNPl
D7qhxYenJ9oFZoixd6eRNsrCpkvPF9W2fo9T9+iqfrsMdhrUNdZmDjr/h70z240bS7Puq/QLMMGZ
PMCP/yLmQREaLMuSbwhZtnjIw3k+fPpedFVWZ9qJdBfQNw10oYZ02XJIEeThN+y99lx8ql2Dsck4
juHOZsbM2flg61jzEw3dVn1PIw5H6BK0g51hAn2qVj0TgY0VJeNJkhaw8tziS9GV4j6NDT7I0NvX
Yy03KA7njygq7shM6ODgWfbGac1d10Jwdon1BFRWesbGzwK9osFJH/NIfgut+trO9lmF/qtj2UzF
XzsrJ0M3fG8GTQhrmOC5JamSmG2xqdNibaVVusFV9V51MH4zQ32WtSG39TL6X+zOyiaINZtDZiVz
KuJNUTALkNZM2YJtOi3Tu0ZyQK/bvvEnZL5ucJv3g30yqOkrZLVEP4wDTflQ64Y/xJMcwXuO/rOq
t0U7Fc1GdgF7ff9c5dYZo//aTyd2N5PK+h1THBQ4WU9C6WwFNU9oXfcQBOZm72LKFSssEs0xyWoW
IJxq3YrdYePllMY1JtSJirx7NHBbtrs8RO25aww1NmuHFVt59ukRNMeH3WPmd4VV26uC98iLKmYO
vaHNmx4LzJdWTYHq8N6LlonFP9bN/9Pz+v238vqaf2v/3/IXv1FccM7J7v//+ZftP34dfyuX6fef
fgE6Ien0ff+t0Q/fWlKyfzfsLH/yv/ub//Ht+9/yy0k8+92/n8S3bcK/YQX/eRb//et+n8VjPzKR
ZCx21YVi9UfTkvUbyy6wWjbain8O4R3+8Z9Dd8f8DVcSykJhI2j0Ay/8d9xJP27MhbfM2vE5wQVE
O/gjU7Q3O/CDg4zZHxbzxcwbvXfgCicrl9hza2PGsnmDIVC/VcSY/wIfw3Lhz/N+ZKYesTQ4X33H
ESinln3AH+b9jKJrT5HWcMxTUtuDWM07w265L+ccsZ3XSRP4swerAq8OD0Gr1gSLD6VdoAQv9cc5
WhgMOBBsJvYKwv1KWJqlpoqQPjFBVJuA3IKXuVLNbK/aNOnnc5QEuue+rOytgwHoIoLYPPBdcsBq
CQz6Oshi+BakIVvymoC7XSMdgdMHecgDtpBg3aQR8PJxZBkZ8P1WjtT7AGXNqfQm3je/mIobvk14
v6STVa+krM071KkKvAPrSI1YmYeNdKnnD5mu4r75YEENME4hFZ5Ffcqn9HWIndjfjSKgsjaHKE62
eR9PDY85aXgv0hTY/rHEiE6ey85h8b8aqafHu9oOYEcGcTjG11kYMtyVJH3EDyRg+uhLVF67INBz
bNp2y8xsY0jTIWXZXf5kbEkRPE+Nqoo9Y1PUNIaiy/C15NSMrBY7izWGsxPC8fAtQqFWuR+ZAV6p
Iv6Szzq+HQJdbktzzphOB7quVsyqwue5nzqDE3mctqy7g33vz5uOXy2b/+bNS+vhGlCytmtlxs4h
Q19BDwBMaIwgrDQEQYQi2+dNbl4Qb7FGFruqGcIUXKvPs46KpHbr6o6MW5sLpgpMTNnEsBtaRPeD
r6ePPEjVsymhsQdZIdcOtpt1lyjvm1FM6QMKHug7YqoJsTbEThZWQhKwcF5Sj7HNyIZ0kwRNcUxE
0Z3cCHevZWUPEh/+/TAhw0dnS5YYyIK9YY0+xUdxnIR+DDhol1hj0X7xSit6yEl42Ux06EcVk6Bn
jl1+Rq/XbltMNWvsWBnVuF+sasOS+3gqxZsfK+afDcl5dwNWntd44NFPAaLNq9AhD6cutYwT7Gq+
SpuFed+0zMjHGlqcY2ePqVHZL74fV/HadtVbAmrmyQ+5qVzwUDvKCfcY01YzIJ/yY+OM3yKQta8z
k8utqEjcXXEmdK+MF7fpzDrbkqO7UtV4Hlzp3WagKnbOMIMe8HG/HxoW4UfMP/4lKgNS2e0+vFpB
MVIyjt1RpCo74rkVdBhl+9ji7rt1Rq88KCd3ziMGtiuuGXZqceUBYJfWFcJO+lwXMn3hE83209Q7
576cs0NfFNVVwQp+qwBvLBnycXBKGme+q71uoKlC3Ik7xhpWURUGVDQdi27DYGRvOFNyIfbWuRez
6YME4JY4ZFMTsToIk+RU0Pje9gxEbobGST4h4ZiGlaNH81KpIbl0UtWPPeiCD0BGqxMOrWJrTIl4
YZqaPjWD3507r4RByqA8Jf04mO2dlcuctGERHaENj/tuJlXaTEW4a+rBe/cGECkImvSnKbUJhRLG
sVBVfuy86ILtqdjAKDJX4/f1WREfbVGdtWdqRqoOhbHbf+2LEYmCIg3JRGm3Kjy6Nctqh32TFMHO
lsS4z5Nff6kirz+b9ZjsMhcUhV+4431a0vZKYgsOZdM790iC9XMPtegN9+JwzxsS3U6oUD6xAbDA
soz5hvuk25T5lB5GnKf7yk19kFR9qT5CzM/QBVncLcaCig9U9dUx2HjMYc70YopMZzv5k7uq86a7
CyzUmUxGNaHN9iBXIa38+2xLVjgmXk0uZRopBh6P1aSGC2ivu4o55dUu7fjZDrn/Z0/Uu8nRyB9M
nZgXP1HmRXRKXA02d/d6GnoeFCRy3ZTlgvPJptus7qtsZXGjIk2PIW4wYCYTfewompEAnaqSlgYn
AgCm3ikufc2oKHA4api24vtE8GDXrvXB1yzX1iaYxnVb+/oN3x3R5aMRNgkFb5oeWnBFX9hUstRL
1YlnCULnurQ/p7Tsx6z1UJaSSfFoNWn7EJNYfUX3xSCtR5K2gjRbf2yLXjBqDubLQGH6WpU9K2LL
Gh+ypGSayN0T3BTjqL9qJn56jUAJylHhjScjzod91FrDdega52Rn9uL1qeunEXrP3eTRf2gXmYmT
TPKeJ1v14ou+/BJ2RfCuERqxaOlaTJYi/sr0I93iTWOOB8tohKdy1lPrbWCEdgwa+T7XwmjpFEjy
Hldmmw2vFUiYDFclnta1PxvoQ6RbP5H10W3LAF8WDOwkWnt+qt4LF+0TFO36UxgXvr91yzj/4sRx
uC/qKbr0VhSeh7AAKzLNzVGKkJG4gk2jbZ5vTPO67Nq5prhNw7y9KEt3256UG4LUDMg4HRqX1FXM
yrOATnYo+k+wqFEtVcyVWR0a7OhbZ+zvq7gNb2ZD6G+m02f9woPicQ1RLj5nY2c8Sun5L/A8OHoU
yx1qbnIql0Ob4KZ5johkMMPylj2qcwU3T4AmkcwbFWbaWqWRF+6DjgEd18SYQI4RBh5gi0glODTh
q0KavjMT5xX3S3kx4sL7EDIIR+IzOTdjJ1yOQW3fIZwz13FUXJYPENePY+3nroemUyQbkdb2BQRR
eoxteAqNLMq7Mradj0HYDdspMBgh16W3N/yUISbK4C06RBurWELeZulU2IDN9j7wYvetk03Wrayu
mjf9OIgPlocgoahbe2eiZXoEniddetXKvVNRHQELGSZxn8VFsEcyWq5H07kJo2bkY89dExUF41nX
n06is8MtWrP6G6AmuwNSwxg66urgwOKrIjay1esi0u1dNWcVWWRVfYBSaB8mIiXWs8dqZxxnMe8j
qwk+UQvYj5MjUsA1nhO8h7nRv+Rl6O0iVT17dRZsjVTcO3bTpvx8ZkfdAZQPwM3ILCXtUrg+VWMc
fWQXmKsZ2UY8tOv5LamaHCRpEo0nu582XsnjjSiXmEvTpZ1KlXcXUZvuLNJ/zr2v3JStdhOkG4dI
ypQln9tfnbivabqbJwjG+S1+XLdaR6yq9jzvit0AjIYJAW2ZkVjBwS6z8DawgomnQpC8UKD5TJtT
hum1jg59lUZssJWwV4HVWOroZbG15srGFEiAs1w37pR6eLJKytehxa1Iq/fgN41cjbMzHn1T42VU
NcvRDJEyF4cIGKvOkumnsvfK5FhBeEMxPVGpFqvONscPg5nFH01VZh9dmxrQRazgrllz1beV6sR5
Vkveb+xFRzOo0LDEQAjQWZQ8wRhXR0dwH0yKsFKmp7RD3sEqz0p6SkxRHug74/abA7awFXgwUdIj
U3Dq8CYaPLVBIdacvIzNMVZ558KAVl9FzRBYqAQaR1xPJ1mM8zam8H+embCnrv8Y+wCbeju54iuw
+CndU64C63OCAJkZC9z9OkJKsQpynC3zYB81SZSrYZTOpu6Ndls582sjNWMT4z6sGCYKOfibDFM8
Y3Q2Q2VXjHsTUPhaweSaaBHOSWbl24ykID4WZ9eDsFnTJfcbJ6O4MbLkdnAT59J67ovVshCdhq5f
xUplG6VC5pB5xhuTj+whckYTaLOqFWrB4sTG3GH3F+5kXOgTC49bqV37yWmwq67DqczXpl80Owuf
1Xo2Jpz0qnc2c6np/0mfDhjerOYkdV60YU8MPRFE5ID/ROQFt5Mv1bryC7SWXH6vBvENePejRzgE
/qEC2XdieG5eZJ4lmyEe3fUcNjzmWpkckyrAdtl28xpVvbfWbj+uqrKLrwUe+p1Qqb71TH64NMy2
ydzl9AlV0zGIROHxh475L8gTP7elvo3gg50h3IyfI0ZkxOgi6cPkmOYtbZ0xBaxG5pBT2uuV/8E1
CzpSaqmCR7apfmHQ+MHCQFfqQ8q3iWMOPYKOFj7JH7tSVGRsYeYqOVpT2bzNKdk/VZJJCG1CPfz9
z/mDgWF5KfLL+M/S/f5sTExQYfkAGnipyq6LLfeIxg+u4/Lb37/OT3z25YUQ4i/EfYAo/o8pk6rU
GhVMEB/7ipk1BiL36PeTvc2KpLurG4VNYxCSjbx289dqwTVxqsTylozNpblmp1dsv39L/9OToUvy
1pRt+d79eRb0fb7zX4Oi/03zo4Dwlj98ej8pOR9k+fXbfxzb7LX4+qcB0j++8J8DpMD6jY/SBojp
C5/Unz+IOfkt7LSUQb/Ta36fIrn2b3wFPiB/CeQ0ucX+NVVy+etczwSV833u9Pv47J+3KpM35nIM
3v7i1iVC/oepDo4crKguEx2X7wv315/vn5rhYpOzNzoYAbEnqZblB2btXbKNwdBuE9t7HvNhuGBQ
SFZpXz2TCGcczZF6GIYDCoFZqk3Vuvm9GPLijjisJy8y0TpUGSK90h1xDS6jlMbClelyxu9SLAF0
EsG1yqBd2pOFtnxsXiE/XPwxu8B12FPMRpuu8WhCR6TJ2dCH8DCS997sk2sOBWhdBxWmhAKssGkw
C56YzK7wLJ5LYd75VguHtRlfy4nBhacaUL8MFJoOeuiC5MvJKVvCXK6BM+2RyFfrCiitUNRv1vAQ
TZ4kjQ7hGgL4Xs93bopklN0rsyRjNcnkFWRyuSmpSbxOneDdvIEsfK51uyszDOYNa3YCZ9wDykN/
hcQBt3QbzWj+aLM751kN2WuAJ4G8p/HBbNRleQe6HISwq7L3tALb08ZdunMW+KcDgHTVx4HkwTg8
xs74EBaTv8bbEh+bTLyNkYJxLF3iWvVZ9WBe5wXzYYwtb4xpshtKTrbsbeqf6dGX+mGs3GfpqFM8
Za9NnQIw865sHhsfLku7dfmBQJm8I3u4czM+K+10KBwqJAKuOs0uWLaJtTmaWOZ77DGpMSUFGnYu
mjDbJPhNLTtfY/GLwv7cxsbyXsr8tbdYq5oa4kQ3lnq9vFYFaXZLZXcH7e+us8c9fJDzd1iqMZjn
KiiB5Cr57mT8Mc9KLkpNZ5sP54CCnn0QhgCervppjuC3Zp2fbRKBKhVlLiE/SZhuJDi/m4Z2kMC2
p8aF5Su96TE3vc2ki5EcsabbwAJ8LQb87IjZ3sJyPg/I+Nl9N8jD6uA5mcwvYe3cihE/jI98XrO+
hATTkNE6PM70c4QWdlyoziHO+YwMBKdr1Q3saZld+qWW2xGFzhr5tHMSVFYstTqIZdgrV1VrPhWx
9SacESEn8j5Uq9nJCobHuukf3Sl7z026RpO11KbPp0cnovBRCV0eHGbQwb4h11iLkKQs77tV+Fc8
xM9lXaQ7PO5XRJ/Brlu+jp+TIBEmf6PjPzMd0we2gzOaDygStgHMImKrH6RSE7gCjhLPfbnJJrAZ
ukZqpkU3HOqFZkmTMhzb3A+P02AYt0rqjMVold8WZMzTgWTDKZcIMmwjc946+Jh6aPwbK1TgVili
k5pEF+iN6UbktbNhGDu+RkGJ3IAVVbYQo+riCULDUz4ZPjpSF+Uly1HWwTK6uoX6jJhlII0g207S
1+vZSTZVpxsWQ5PE3wOWn7Ur8a2nsOyIYQjqa2bIu4LJ83Y03KfSsECH9563HXrvdSo0mjwoONyV
S9wM0xF0S+mqmoW/yxNIuLYuozur8zoIsFz+c2q/lbD9KT3zaiUHEwmabe2cAOgo3wXImpnLEOCc
uZlsN7x1zaDfTzYXnVbBc2D4154O5xgNzbsxNmfIg7+azv90ipPlvdj3uPWJKfwR5Udh4vbpiBYG
cr5aOUxF1lE4XROvvhCg6/+i4Pux5oLAT6wkJZeHa4+K6AePqnDHvvB1UBwQlJWbwkJfhudy5Tsc
6H94mP7F8+nH0pJXIhMqJMYS7+3PuVdjEExOSigNrjv1KiJOw+U4Tq1Rr1HJteWRfzJ3f/+aYOaq
P/oSv79mCB7fAUa3/C+//4c9R+wUQoYtkwLNunjrtcMjq/9sbThI5hb+7/LzZhnEkpbT7e9f2lls
hz+9NqHpUBmYEP8UzFsp2FWpDpdI2YYlf5mHdzry5XJcnFluqgOA6rcRWu1OjcNwSmktUX0Uy2CB
GRfBqXExn/t48eoDoBYLSD7tQQiFI5oijm/8XMixaX7qMr0UfrPLAYVNefxkejJnx+te0VwYTD+A
Gns02S8x0IW1G3I8/P1P+heXEIsskyRbMhF+zhezs0Tkpe0WB2kjYivNO5j9d/kMZvQXr/NX7+j3
2G92bxhjfmTAgCILJ6iBXKsig1mCR05bibs1Mw7hwhfppg0VtFUSArJB34ElzoH88Ax15/i9HjiX
l1IlVRQQlj2dY4NQAzH2j5Bvrk4z7GXIce9V5CDEMZrserKn59iz9T6HorOdEp2ce7PBCqamp2lh
pdMRu6cuCfPt6MMzcYvkPUqYexUKvi3ugHKPjOQ9KuenMO53cwdxHa78QWrvIGWBCBeBMnqu6ayY
Ha3tfr5jewPPyObvFqHxufGUXgcWNdbfv5E/bv+Wu8INwHpZ7LR+ZkJgaS3RFjgk0I1sNignJk42
dJ+Aw0bn8Pev9WOjtbwWqUWwWFhyCu9HEEFjaxgezGQOnhoe3Baae/mrA/M7O+OHO424TxsqA/8t
oDT8+S5PZM0k1TSLQymGatcmiGQg99BA2m8JhpJ9xwZV2cAKDfs6RgKDSpGdjCn6xPD4C2K+YmXn
bI3CLHUOOOd4yApOp0rnF8uK36FtO9sANtaB8c4MNhvOdm/O7U2W+NshrD6GxCusfMjSR+b8eo3N
FcwTsME1nMRqZzdAhh1R2/seDP3KtJN3OE5EzCbqMkzqpLxYwzBPKVAtKE2eVa1B5SbrweweysJm
iuTMv8h8dP/ijuWzgPyDYRvS5I/r38KuuqnUeXGwMhqFgT54nXSkQ9iG4meWvAMJ5dYm0+E193wm
a22DvsTKb7uUazlS7GD8ot+NEclMnW+VG1Ymz2NaOXgrAmyWg3/FhuUjn/HwLNjpBh+qsYY7V26C
VD+Z9vg2t+aKNfSHyaE6FDU/cGNMeyXNJ00hhuxEVnuGPXtRjQ+x5/ertOH6dCsOvtYHUSYMN93k
EbkENnB1wWry8vcX7l/cJDwzln9ZS07398b+D4+OMa6RS41k4o5hsaHEmSDX8+24Zs+OK/7FJ4LG
/OenRchTmGPNspaAzB+ew7XraAeoFpIxuy226BCRtUXpKeJJJSw+n7nkkoQcAE3Q5phKUyrAOLv4
igIQORwkx0IgVM2Heiv8mdg+0u4YaISoTKwbYwhvM4HFRAqq/akonY1TtW95Oj9MmT5DZedhzGUW
O+qV9QxVKikq6cxkuS826VSSFJHgh+nSEPeRd/3eXs7u5GzAjNhr0aiTb3R8RYVjt4r6DlVPJ0Gz
4zVemqCoQBM+dqo8EXjwmHQ0kqEipGSuafW8ecSMFptQEMUKDPwjjLw7YHMnhnbkPGBESgqlN8s/
GDn/TzQsF2TVDzvLhfm+3Ebt5F3LYHz046WB8MjoCH30RVlNtWRG6WVC4r0JKv50Y3jPdYqSvcBF
dcOO761hvYZLkFYhSy6JQ8CDmCjFwbw+p3J4YGmL5a/0DuAzT8aQnr5HwjTA51Zdl51oivd5xJMl
iQcuTO4Of+wumeV9li0xR8ryrkM7bJiRa5hp457lSsKuGCYiC5Jr1rnPdoM8+BdX7l/c3tQ6SDxA
4nBF/YRq0g6bCtcjdDLQb0U7PLQmz72BNgvld7pZ6q/vrXbZCQJsBJXe93u+kN1Oj4jV6pQvq3Nn
o7oi3QolNiHL2YCJOqYUCNfFFuOzPmQLhn4AuYAJ0k229QKoh4srLlUjJCo1nos454G3c5av58C5
2gZnTNrpp8Gh3DIbp1r7JplkU4zbJAuprGMaQ56H0in5QGLK7CDtH7uBE7Sxu4cmpCUVfXYZ+v7B
9fpkX2b+tE0axaB5nM+5HB/xT7KKBpmw8kr9BlGpwszVPQR0BweV+NeBhwhNZv/oYCxfqvku+P35
+n8Ttl8rtJZj8u+Y0kQXgM3403SN4pgv+l2eJX6DnC/A3i48aS7s34HS3m+UD0CjmdX+S5zlmr/5
nKSMjAm34PBc/p7fxVr+b6YJcYeKgCIHWI3774i1WGf9+XjmOcmGhlExZQzYPPIU/lxiNJZPNFQd
w631THwABGj4nMIuSFQkkr47vJiMDcDMeuVDUuniuniaV3UIrnVdiD7dWkFifkg7NettY0/qVrJG
JMbOgKMpgmY/icQ5EQdjYQRNqnrjhdCTmP4KF5muwomhpSfPQzaWN2bM+HFV2tkNoQ7qLiidcJ+b
Qu6jIAr2DJ5wV8S5EW1aBvb7OZHNUaGhuvTtIoYlGdBYOz10klU+hvY5mMrxs8p9zWYIqOnakT05
KMai7S7K6IE6kRCJxBinY29+UWouXzFuhZdZOdH3ErdjyQX3Y8SsvVPR5N+O0RRCDPEFAe8yKs3j
kqJxUI1tvI2sr96DKhG3TlqERzLMmm/xZEf1WuaVdZfIqidCyWkoE93xlKrABBHC7iNfO6n9LTVL
PEQelFn8oA5jLOC919gs4nNbzcYbOhKmI6SjALmY6+Kok/p5QF70kI4L0Jba/qOsuu6DEN2ECcSY
my8LKfgZ3aZiNunhCkC1k/aYDQVP1LAAIwYMZmWbCftwT6iAk89qXmtGnj3SnvETuwx0v32RfcmS
rjuIOel4JCXJ22z22U1iNrfGHHsn1XTVqYnm+VxFGWnEXtDugilsbSYdCX4OU/d2w+cZq2d8SVge
eZd6/jZSqxGLOdlZW0FERlvu84NOAhm0FfU3VuIZh9Qz5Z4okewRBqD8pLqEDRTaNweTBW3fNkdC
YWHVggCFq9FRoGG59jAVu/2ld8XcrvvSdAiOs2B4y3nBFsbYqNdjW0jWcw4rS7jJ43uChZOl2rRg
sooM1EiVyuIu8b1p5WLYuImbct54sya9pgnzS0Vw241tOBZKiXzEOchwDyUxLWj8RA4cZZxADfKl
nka3Qtvk4czIGB4RKpcvmdhQSZDlo5QPC+sK71Xcx5GW6zE0tpXMsV7pYeM33jXJxPBWBI46mg0G
vzHFVr0Z2l7jppLTeZ7x40Lz6IqPokyjZyP3Y+OEd7rmkVYE1lecmm2/kubYPwzziEx90Mp66RAk
Irsv6v7e6ov6cwPAZk0Rar2qhiYRJUCnH1r4seHBxT7RrngolWCTdbsSuYPaJuokgQZ9ZDlPzmDK
cw1F/AuWDLNYoffT8TpoEFQxpg4/p4EZXJQ3aRPtmhKPMz5S3JXgAKAWMIXLNggmyl0oi/wVXIv4
iLTyi2GO1cavGodANF9/86oGCEFrWWWxjcKoeE5jRODrrEnRPqOjaV66ABPOCrJAdQwjRpBYD9ko
d5QPN9KecBV1zT0KP4FQKAm7LTrpmvicxt2GsITIB+J5OQ99i6mvSjYuHuXtPHb1SZVWcPLMFlK3
I9OQ9wF5Utn3nGjM94K1ISpzP2Ru8mAPhrcvE1NNG0N0kbt1g8Z8sZVk9ulymA62Wem1KPIkRcFR
ZcdYO/WVyQbMIiKUl+d+4vLGBnn6ifyuWq9qpu+wG5ChHqN4whgcGmP1GRkkaFgXONiBICNGlci2
2lu3bYy30guwY7dWOqDw0AaHC4UJcZ6pIJTMdYedEcr6M7FK47c6k+OLdgvr4iBRoIQZ21CvHI/R
4FpETs3GWERqE9oVQxY5RkCYDYpgy6w+xKqtqGzFiBW3IcgeSPDGL4KTW+mO8K8CTaVsM5a/SXRM
Fcdmabn1fjLzR+Qo/b5t2G0njFpwlzVwgGFN6wJb+eBva3Oav87OMOXbwfLrTen0iBlLOUB5N8P0
djKJQuvPblb7RYeVfqyST7MR40DRrL2V+RxqhRZlJRu0t91zD6sjvY0mRHi2SP1bK4XDPVtZ8+Dn
mfngW0F8x7E4sfBW85Fl9RNOguKhhgn30FttZK/MJI2eRoinzw48I4avqA5PEk7UU0haG4fUyG0V
kuJzZ/ZTfkcbivwozr1FAeqC4KIXwQWFSRUCAsc2T7v1lOuE2arosYsGNWqPNs+vqTD5dn1l7Kw2
wybTsrziVkeivbKa1r8B8+7fAlCwL55X0Ao1DG8/uGHjH9NEjY+o7UNITAP+BWc2NAPuuM/3nVGX
ALR0dBVlVX2ACRAcY37wN6zTRFXpxttPXd3vpqiePyM/mYjcqo35EFuZRtCvMb1B1tjWXdRD0vY4
j/rEms92NwdHmaA4ysf0rs560Ny17dxGJWgNDlkVPYxztPjK7UszlXG5LmZ3ievqy7sY+vp+eT8f
m3KybkQ6o/10jWCf1g0TejUMWI7sEfiJmOXXqANSn0z4Z1ZNPRFY4ZmdPmlUg/e2auhStRDHwerb
pyYq8zsUrMOB+8nXYDvKhpFTgNO7HWNA3bPW5ga8isRvxJTifnTMHBlx6oj1MkDaSi8xD2mdubd4
gaLLHIjp2PJgZCtInnghwjezTMQbezq7XHmtVz8nmC4/m6yzjm1pVHuogEaIPoWjhstvWWG4meOt
2W4Gu2RI1R1e9fFzFQQj7Yblv9hlEt7auuDOk8uhCS7YTvbzOJKJ2DS2XX4otHiGzQ8ffZChrOBg
1721NovQlggcR/GSGJH6ACKvre/8BsvAwQlIFljNvq88QgCs2ryxfRx32HutwqwJUJBJtRBVeOdL
e9YfmjreTMIJ9c6RfrCrhB+sJTD3iKZkvJ8tG0pF12Rtfug7QzI6c7zk1WaQVKzB8Jvethlhj2Cc
9hejCFOkCYHKvozJwOxPXLI2HXMwFChwXutofqHsnT4B1ije0mGynwTUlkerjqsTQQePdRHobe7U
+TGo22od9GSWBeX04GfzCwfgu5vI17TzX4J+7L8AxKaCcBtIOq3XvwSCrscPwuyutrLt6ObGDR8O
wDDirlG9dvW7M3uMv7qqVshI8UvDL+8TwqJQvNw73sj8EbO1rFe0dHH8GPoMoPPZnu8lMjEo72T7
5MY/ppP/1z39sntiJPu33VNZdK/FD5yp71/zz+YJYws6A8dnpbPwvZEU/Kt/okv6zYRea5K5Y0Fp
tWmV/oszxf6Y3wJSivEb1c+/uijX/c1hdIvo1qb1QT5h/TtdlLsE1P9xJcI4gng4lD3LHmjhZv8w
qK3w/9kRxdxtUHHrYQnLsVkC5vTWXu0rfQiIDykw9MUy5UJ0qktsMzfMsCx9bSMIJzgscpYe5IHU
01HONV4+pLn+29zY8H2KJHRXbl7pmxL3bvYpmd36pmxn82vqxJNYWb2a+pXpWYFeiqDB2SeGX34M
ui6wj20tWMJgtm/GS4OKayuhAFI24TeFb+SrS4WUaG31ESsCbdyYvUZEQeZKjM2tmO0NHrTPA5U8
p7TEWThMSMZ1ShomCyJMZprkEmb6iHq2uFOwLrq+TC4ZHMkjQtjgYDR9cxzKPMUilhTT/VAbezvt
7U1pi09jMTl7aWQdxvS4XL4r6BOfJo/jAIgAZAzCOKSwsAssCAjLwkJKXNamL7MUITg0VHafBO3h
5sHh2CJsi/C8rfjkeZfNuaf1shPv5KZze9dWY+qfRyvw3nhHECIQGBk1j7NfzceucVvDPQdNPKlt
2liryh39qdo3YSWzrT3Z46VM3Sxxs8UTS19e7ACY5APxjK6UnXNIUUFDZAUTUw19cMagQlDAvLao
Xm1MKlL1jNxWIm7IKjhaOTCXAV2wIJwYth0tZfgdFhkE1aayUf4Njm09tC05PNjvjekrVX2Vvgso
DO86YsbMwKlovdz6QDigtePAX6ie8CSD52okYQFdvBhuRlSDJ4bZYDqDRkUS33mfHhO8yc62ydQ9
hXWzNROqx0iq8bbV4EiWIEEuS8zZG82aj4weyzqFqSq3cWzOuzlJ1F6V8tZKqumh83s3gTiQ2cga
0AwzluxYbYeU5WvX4d1e22kYHf6TvTNpbhvJovVf6Xh7VGQiMS7ehjMpaqYkyxuEyrIxD4kZ+PXv
g1zVr+zqcEXve9EV0dVNkQSBzJv3nvMdnCS4OjM12cd8FPWO9bV5K80q+2K2WipEgI2Dl1ovBhQv
8EAItEnN2Kvx5alRIDwsheggoYaWB6voPkeJ1bd0jS37zuAK2hzCqvBzWFviKkysfAdIzdj3ygLE
xdtdY/+p9nKW431RtnLx4lNVWjJwsTF6A5GTpkivFgYOVlYsTFS5TnHsB8ExjEhWCqI2s86AS+cT
VRizgkQgzO7YmWoF30sAdemy8MaJaEpsOss5MzQlOWhMg8/UBP6OdKCeU6WytqlOi1Mn3eoJoOqN
Xbj2/XJn32KEEhs6AkC7tLyeEw6UbNrt2lOVjeS+4gxtqUp8K+Ukbks7DT+FVcxgV1ukl/QpCa8Z
ptEpdsJ9kvTpHpQ9ahe9RCoTDLyvnNp/DC0D35XyzLOXus+zKW4LOqlrF9jJOZ17GzWi5tSdNMOL
rcshWiXpOIC+UeZrbk94QdAYlej3MqEeHJr5aDka9c1wPfAULVdjl85JeyTo+Qu4aB9mHNafjdFN
2l9GJtZjpYYxgqrSl18sbwovwDPoixPxa/8ODSLeF6DO+BuVccS3Q9iKqugxdX12HNCWnNIRXJlH
NumW/Jxxp4rQO4w2c+ShKuABdA628dYOJTd618ZX0o9orS4es4zrc2lGfc9tDUDFnM7+QJfITgMf
JVlUkbmqtHvyaoPkEt/KvPfRKaI7P/PiQx+UxTu9LX+TCUqfVQWK0tlOpUU/X8hj4CQPbV57R8iB
4ybl7n6UBrH1K2b9JhYDFayHFi+yoE8xjTZ0MtfVpAWDEl9hwlCfyywkFjzqgBEOkokPWRL2q+0N
/kaR8fxQ0jhbc5wcXoBSoFFVSXltZhWdjt4dvxhjASPJVO23ENAB4mI9b8ssagDrmuqTCQzsdpa0
o/rRm++mwi53MoNHaGJsvyJOWTyiB5/TNTLzVO/Ksgm3TanFG7jVemONXfmQWAbh7xNC53WUdMbK
QjT9Dbe7OBR94b4qTgTGZubW2s4sOeuIyENn5YXRsClKVn5voO3her1zbeo5XPNEKpTg0nyC411d
eYMdnUq/rijeMLy3WnAQnPxo+hpPdftoQ4hK1toMok0jpoxTjoT/EYzEP0mJBnuup6lbA6L9mucQ
vJDU+pxizfIapFaCAkLXZ/KshvvMNbaYS/xr3Zt2vAI9FgVH5RjpdSSk3kj6JZ+zpjcvSZNV127l
gaYbZIN/xon8B8sfaRV6OHrKMYhxbATWsO6jWNzWfZW+5Hg7XkKvqO/AIQTPVRowQx+J14lwND7J
2pq2kSiT/YQ9ehtMrV4JpyCayOLbYtxAKt8ei2zu4Y653RPSSwxysdUUGwPjyNqxkQTRXxF3Gpck
Q1r6G6cCjRBp3+kwXdn0DlPiZaVJMJmluI7t8Mka4RrYPQN+IGOo++GGzScZS+cLA2ZhrMugiO/I
uBhwiwv/ZZptSF/WzEbvFTT2Vk3YxDvMT87ZxYl8Cdy+DlcGFPQUVhyNio03jOdOl/UOiyEhPx8V
3/+K438qjhUk818Vxzdfh3+dvtbN1+mH4cL3l/0p3VW/Mcl1XDo6VKAf2NQ/5wuu/RsNL0ILGBmI
HxzgCHSpWF0wajZltassitY/hwzebz5/Tgj+F8RTAqnWT3rdX+p3fx4yUJ4jFrIXpRLjO8RYP82A
TV0XsErt+uD3Bg6molbtFkl6nV4RdGhfsU/r/jG0GyzPIo66Yx8X7X1UGX2+T+EXpBA5ehBcWFnw
2wQdsccd1mWzGkMULWRZo+ttBEANNEahz+Ix00G4CVOJT4MufXAZzcL+5BT9W0brNuRPXXod2I8M
buf7pvYvNHBhjRS4IFelkwXNkjxGAxTY63U3LMZrj4L3oYHEw4myFZ980s7QlBix+VAUQ3pqakoc
dFCYIRfnwuCw9EB+G29IfwZbYUj5EMymAanT8L81Zg0AqSoV47keNdGREDqqMNx9eLt7EGjz0Phr
xIUJcAUu1EfASO1Gv/P7I5s1Gl6NCLg+ohqevb2HcqRcJ3l3nKGbrIG98sLGHujDm8XCCnFyP/df
+mTW4brIPPHJzXGpO1Xvr23TxyVLC+5AM5Ay3SDBe5ZY0VcA4CYEJ61Puh89uVVEEhCAqDhmKxwa
NQOA8bqFYh4ar12n8Jy1ZOOtyDaX59prfLEfbJk9T2kGgqYPO/mpzpdky3TEIId5JRpvvSozvs3R
4K9HpdGxRGP0bmQNkk9mVfuPz9csn4o7uwYwyD+PJnCUYlVQU61dh8bcTtRdsafp18MQq2ZQu1xk
uprtluDNDt96G5vn0KOfHK26Nk2HMxjvKCJUT6bzwWlQxe4imwzDvZoVzI4kgHRVGAh5Zqs89rXV
kquX9N2ujUPzU4V21tnJavJAgKXWTI8k516AQXdKuqbZ8O5IXZvGjmkE2/YjtV/2XBNu+RjRy/6k
q6g5e8DXLsncY9Rhdu5sCOxRJ3qk4RVy7OglmSr42ERrXhkVPzbqGbgydOJQzUDZQ7lgG1t7Rkix
xwaMf9rWFMiAXJ2FJ0nbpBimvYcsdZ9lpvo2OIAtsTTneUk8G8lRm9Cke7jzE9FGN2lW8reYOlc7
pwR8hrZIYT4i860uXbLkafo+BLk/XcfzkCIVSOPN3IrgOndImyVzdvD2cpmz11mkngk4Tve5B4Cd
3tBCXhvbOPf2qRTNY1tan+w2A1Fli5fCGydS7Hu9VJmw24iwI+QuD4O5XTfYTHaxN8NMdTkN48PB
2BR4eLFw7tSwj7LyrkEDct8YCpjBNOGGji156sKCQzB4vG0O3GQh47VbE2n1CddomlHiD2o9ZLZ6
4qwlVnY+YZAjk5UHlZHXyiKYbF2YBBnB0w/SXdH2xIqWLTQzNBaEBwyNAQ9ONdf0EelIeyq9KozB
vqPmhHkY9Zhdhdsgn6HVGiQrz/CtcwYOvtsMo3A/9cyfrgMEV1+mOkkghhBpOvHTz9WCcMCNMYA0
KyEKTolyirXgNW8zCisq6IQI8ENY5vpR+8DCmEbKaNtFPbReIy3mJ3y4YjsnOrrpVVWfZlGVpHTa
097UrgBHgasXxm9YCXAJRLVWqx5lBpirogHSV+B4G1go5KrLBrHpHWe6GpCx3kdkLb74fH8FOX4e
k2OVl26zceawPnUYOEEhOAtzfvBSZOELCH8ldIfqJXJLghqKql7XmRldHEAY83rMqMTNOk+ukNnQ
dsMjwWwwMcE3Kqdq1rXfj/tIhMV6mHK0/kJvUY6YTFG1e1NOnXHB/cbi35nRvPOHMYGGVmQtbU1v
ru+IdKDjyDFggwZrvqdVyarUoCJ9/VhZ0M8F3/wxRwxb8oQStCuZtS5PUeWwaI2MBp7rAWGFYzCF
ZWADUIxKkR2mLp1iP4Ysz1UBJ4zHYTAfaDfzRpwtxg3eTz4J7pD5ehADdVw0GH5xw7Y93QBxK6dN
Wc5kuXZAUGpP2t91Vf8rl/6pXDLJ7/t1ufR7/dakPzYTv7/oj2LJt39TkqQrmPX/jvD+Q4zx0We0
qXsc788y6s9eokJ2QSKQ56DWICGLiujPYskS/01xBA/5p96hh0vKlpibqM8o7Jcy7K9S7kx1BhOb
qD+rfPb7CAkCwwCKbmUhVyrOBO1aExgHctYi3M/L2CddJkD2MgtqlqlQlnuLd4ePf10vUyN8y855
/BgltctUyfwYMJmqBoo7x90na5k/1R+jqH6ZSvmtF9+Yy6Qq/RhakfJibiuCvNYQgdVNu0y3CM/Q
O9F7OeMzUdy1yxTM/xiIES2dPkNAH05LYGW3GpfZmdADYcsiMshI8Ur/IYu8/AGlE8QQ5m4NSc97
bMvhnaPt+YERX/2wpKfuWF8ZegXtuEWv257SiibaSITzunfkuLUii+IqhmJy6QAKv7lurg9xUwaA
DGZET5qmxx0xbtGLztMOX0qZVBsV9ubOj1yaZbaOHuzRSba9sHqONqIYzzWP9dnTzRPmVRIq6NeB
LbZowK2FquZLgXh0LeT4ezqONcTbPuXMZPTxWccFMpeispvPhHyzl2l+w6csTfIbb+ijndFG86nO
MU+uIlqkm6z33CW8A2opZpb4zvSb5GBk4S1QvGRHAkAK6N4GMUbM3kEMJd2XqOjOhSFjqMs4WlYt
OcKPHCS7XcpMfd0y9bz1oHkeJnye164Ww5nz43TAqKfegAuVJ7i07aPjmdnIqdFIt4s6FotZBB4/
5wR3TfCH2GnpGhtCR4t7oxXqsZ2s9pXQhuzbhKf3YvZdvHHoF9/mjW3cqNglh5XBJdeKyTaEJ58T
qpd/UnWMbNGrik3B0RYsT0rilGCZNVQ9IkhomluYAITvjO2I1aiPNe6oKQQQAdHmC5x2ZBi6lox4
jFmRHz2CN91aNGPuUfkJ9ES+5sQQ5PMqFyVEQALPVgz235CMelcf6ZvoT6sbq8ZB0xUCJJw5Ex/d
hONulIY/bnt6hedqJhImCyvvQMch+5oUYXInKvzdcRrOtymoggoVdGBgs1JevgrCRvorPTiws1Fv
dVdF7LisX1F0imnDr4iBTjZLfsmnWObipR6T8ez4qdhGVtNd49lDRlJWur+vjXB+1Rm9XRzeqAAr
Ow4vPlyJWw98El3mcN/3LsIT0bSICmilp7ZqoRP0M9g3KQsXjYlmy43I2N5QtropQ05qkFXsOfQ0
kiQ44oXhRDDRy1gBbceKTsOEoQBsgvyZZaSiDQQRpwi1wF2U29vYqMS1G0kM6sBxGL+hkdhi0NC3
eZiHt3VkmRtHO+pzhhwFES1g1pcmiFzM/l43PTJxVOGardGg/pDRgXZcfupmBoWr3KCMWveGtvsd
BxBB7DS7IiTjIs1vDHAIz64sdLVynTKo1pbWAStJDDBizsv3TAqxtPTy8VrNbk5TJLXjdJNMvfEc
9g32tETafsCEJRw3KpYJE+yk0OZuZCAJXdyrxnszE/KlxhzTrfFt1ZXeZU6Juu1acrAYqVYQw+JU
3tHICXN/HQ6Tg7JrFF0jHgOYh5PzFLo52sp2EY0B4idUszjNlUl6w7r1YN9XG6s30+GxTsbQ+2KF
tNcLcjYyMdhPOUJ77W69Cjjtzui6NnmfmArJdA8uv67ZuJAZ/q8O+Kc6YIlk+3UdMPzr8JZXUAbq
rz92Tj5e+Wfn5ENpyZr4h3n5j0LANemawEKAYLfEqH54of+sBCgfGPYBcCNlmCpimQX+0TbBDe2A
v1vsYDijFtX7f1MZLPv+D+YPKg3FzBMzA5+CkuTHugBG5gjtzJ3JhGaspmYa3lhqn/9yUe6+/7l/
EVlyV9Iyaf7v//mbonp5Ezx5cPP4nn+LNm3LnoOm73GWTUn2Gt1mJh29d9ecb9vtr9+KMu1v38fi
srgY8lxhq6UO+ovvoMxZkZKQ1sHYx/gwspi5iwmBFcsiukWSFg+5rMmGm21rBUm//Ie3/9vlpBFC
Oi3SDin50ezFFvGXtyepwLMHxwQMUwwXM3dfPOg1v/6Gf3dW8BZLMw2POvvqz5bDujamTgRSH2w5
XEZbPTPDKtediaxVzJq79N8C4//wy9HC+/mCQjKFvcBkG88TPbZlKP2Xb6RCDRqHfsMBAps+AV/D
YQMxLMd5w2Kckf9hBYNGcRfqlmOvgny80shsUMimdV5vqJxoi5shmxw6t/QIGN3PaTT0PlxahMDl
ivU2wUOkZbXMKvxVTVF5BNqrfjeTYc963MJfWto6dSvM56nBqAEmjxMYkg91E+mOaUaEhr0T0/g8
MW89M6YawpWiyqIXrv384gCleYknt0RlWAMOC0v71m6L9MGxGaH3FmDzLgQY0vWF5IDtB8gnO40u
yNa7vpvnIxvKNRTgfqfy/JvlZg9lbH1hPHvfIi1lQOvlp0qMn0OgY7xF4mxpaROlQ29vk1az3qea
7kpdyI3dJMNXZnYabX50W03kRMU+M1LLzLstFZlzM4L8h1XlBCczVM+uIYNTEsXYoRp3yZzoyeYz
/MtIEuBmkkkCMFGHl9YhfIfuyFr4fbhxy8VpPAT9AUJfsE0Is79mlrvuInC8AbHTV3YonHTLAKWl
VTlMoX9kyyG5JS5d/6JdDqARx5O16cXuuRJJQrRVJRkDF2NdO09W4RovUdrXt0Up+TseuZSXUqbM
m+u4OwhlU0HXNTGJxFFHV0Gu6+syQ9hjFjrdoTHiFsk1Iq8SC3wyFBLxaGfu+jgTz1aJ24TOzQjF
Nza71y4WmnpLTPhwZje8YFebt0VcylUAvWkTaWcBHsbSP85GHZyDIKrvq5mRSV4354BUqFewR+3F
Aup/gJ8rr+WonENecC8gLop3XVuMexrHrxGDQsQKMfD1BB7CAbedfy8QNe8N2h7Xc2iUd102bUw0
stewDiuNsDUTu3pI9Gvp2NSZMPao7kc73te+1V2BaEpXwRw5dzGq5SBQpKIGrStXvgyhq6URYjb7
ZezDk5UHekNY5H01pU9M4Dk39Imxt0gMuIJ/k67iqGco1yGfMoJB7k2FrAzNZHaYILIf7arRV1Mp
lvDA0C5v84l9gzsaycrKAOh9rwI9vTVQptYZD825DxPjqg0dc69GvCZORtkER5soP3hZ7kYLzbuF
6dKs9MEQrkuTCOagikjHNbzglY5Mgak69PdhEAxXI0NTNFUdIx/YnXtK6YBnH2GTaQkOTUHHycBO
GZ852XCazUieF3HYLkgc/7kk1oBzQ1xsHDd6QxX/4ktE/mHbiocYZe/B7NVnQrXOhpeFj2kpEC66
XGn48KfWKkGLBWm9mi0ScIKhTzfak4SizMm10WhA74i7N2RVvsehRwIVSfbTygvC/hggZNxKQ9zD
xd9h5gsPiQF/r0SpvJ9T/mwYOPqploaL0K8ZjE2F6WgHVUK9NX1GLkpUOdtm3OkqVBfbrvzFCg1u
s3D75q4zKoWcTXjHOB8UOQoRR42l3o4igNgr26rmmyBL6fqqoJqeSullZxakGW6PD7jItF/rciB7
Cg/ramAmt86qAKm8iGgyF/uIDWCV98gdVmFIDGqWy+Kmyb1j1ptPaQ580QwkEmw4VVbtMT9Fr7IJ
UsO7DoP0a4AEHjVms3U703rrhFX9nnSqv604rvsrO+PZY0lwbuOJYwa54NnRyc36gLItpfc1D58g
iSikAzXvLGCb4dd0eIBg64+LdsTIXiRJ0Iz1ZutezYkDcQqlkszypFmVdqbQqkftliEJ6LjRGd/z
fEKfifeJy1ysUzBlz3Zko7v1wdhxWMuWLL3RWpO6bW8zj5TrbnZpfKp40Agx554jo2ccGAZBQtHu
F1cqBLG9z+/O7CUBDO65F9r9ck8HMcc8YmEJ7ieya1MLjLrjRwewq+VVOXb2wUbVfevEMj1ERhh+
9uxtHsbTPpsiLn8fjU+SlWsD3tjj5D1lF+VBOgNOA6XRaFPz0dLO1hny/KUFpPt57J3oxqmd+aUp
1IbG9gA2pqrrm05WLdkgCXcesvIDnpN6RdaesWHz/FakjYmwok53IEqbI/vjcOwTxZqhAfE5V0DD
EVVtzKzpvtcV/yvy/7HIl0uV+O+q6G9go2U2ev11jL+UP1b4Hy/7t3Zwad1Zjq186valzv//2kGB
KQsgFyNOZqAuxqx/aweVu/T7kM96VGc/DUeZm3KapkUoadmZEtf2fzEctX+qS4Xv8/Y2VZxNU9Gn
Nv6xitMIy+YhLJJzDVV9erMQNpE4brkt/n8gpkw21MBGNh1iNLC5cSzNqLLrNecQbOEDQYSIbaf3
Gm4gXQ9R2euRw/J8NRaO+5Wn1N3QtHDqWR8KthW0Vqs0GybrETzb7HUhO5dpohXK4AuzRU0h5TsT
xzmJ/FsRG61735ddTypm5bR1NT2qgmTFtTP0rXglrRXwzbLEw9euo1LgJI0xLKxHz2WL6ZEOAdMJ
ZzsdozMaYl15j5HpYvhN1ljbGFBIogIoR6FK5s2l8RhXbz1aV5l4ibXbzt2+qHrPzNeNyInwjEnB
xqMh9JfIaOqdq6vpzjazAqPGNCS81JmM+XNVgEL8bpn+3wP4jw8gLsNfPoBl3Ub/Wr/VZRb/JODl
x+Klfx6z7d8sG0UBoLDlWP3xpP1x1PaQ4gIdQ+FC9CrKWcU594+jtnJ+oyMjgeZ5NK95Gc/nnwoF
9Rv/V4kgWPnfIWP/zUPI8fOns5TPUQpivGtDPpMQxhZCx1/OUu6iMUP3nhzASEbwPv0Frz03IQHO
Zl/TQGz7SpTklLoRaVCkVVhHRoY+mSkzI561OZDAsGPEmqfb0i5DTW+3lKSjVdirxUpEqnnPY9s7
0+i3jhAQ5Q17rnVsrY4O8WRSp5L6pBA+SOqQIckItk8zBAKMBLyzj9/wtWi86rUSMxHMRCPGFbmN
0jvLiGIBNLi8YcpPQlxZhI6Db970qr2ZuVG9bVJjeclHundK0/XO1K3/zJyeNx6YDCJ2b7zxISTc
6jmP5fhQkydyDNIlyF1Vo0vmtlngcC/tuvROju82740nJEmEOVnVMsIGL4sFRlJZCFYnYr06QhrZ
5leVb9Wwcs2wPgip5GVZB9/cJQG8LI3uoPpIPc0DXvpCEVzfKIGKldwJeROauK0RtIbBc+IsrDDs
AouM1U9IRGUm0LwnNVQrVklArjHqrVeqaNGvRlXzf7NGWV7lpW2/TSGvo9jmA3Ai59MO5IzdCRWi
+QoiToedcmgkO/7It7ZS3tNLFTn3ieC7+5k996tuEOrGsYi7KiI3ulEpDkA4pXJVDzGxaUHcH1Xp
4zkgA3ChwC7XE3ZVEsLLyqEHc1/zb77/oJkIU6JW4sB/NrvlF+ZoNd7xkzbNJ4hWaJ0HUIpyM5Lc
nm8AIafxvQFeCsQnSSr4UvqIf3oNXJ+1nXVcF6yBfMbvueks6oaNpNMN471uQeYcqqXmfGHOTfh3
ls+M5vth/hYFyNBXoi/85ykbHtq5sXcT1HdrTfIvQbrMNe/dHu4jxGQN20Lm5qWwuAGXNAHu2pwb
PSXuLNiRNcBfmgOTf7oRUw0+CTcRY4TxLqJqornQ9twNZt3wy/qqddUWaYM6epbsrOvMdVviC8OG
m88wiQwPsMPTFh6q9h3uJC4y0VbyJho0DyHuHH7gsvIEJg8/XLYxCAzTqSB0J16nPhPibc8tikaQ
x/Jc4myxDmQOq6ORIJREyqj43PHcxYwQ8POSrUhGIsGOdBBXgeya93Fc/L4FtGk2xeU+mfyxeu2W
n8hTBNrkNpBrTzb8MTR88R4kjL/Fgxbvp773QcXJ6pXcoOD54xaODZfrmzbUr8vDvkgMXwOnHx8G
1XFJBjOc7saQRwHTCYCdiNHQznQs/5nSgwvXkpOu1lXmccN0AHqvMjw13AHLI4FgI97jsOXiTdCQ
91qwcLA36tfZrcG+2RVR6k7nyIuF+fPZSEQPkr5JiGZPNBiIrHZ5OJ1yQrxJF4GIMHvoOafnfB0R
W8T+jPygyzyL50EIbjCIOgD/UsIjSaqz5KUHvbif4AOaKxpU6uhGpX8eysw/z5rwuVUbT/yFsiJL
bZVBMydizG0idZfoHg+sUaNsZ54++xuRVe7BsWuxIxTYP9t6NDYKiW4NjC3l+ypgacNubqYu2kJb
4QlDSMAHmhUrVm6iVH6YmhE3RdL523jS6HhQKz+kPsuzV6QG3gmZ8XeIs7GOeM0Ix2pZMgRNuktr
Vx1XMLfGh4obHUM0RP7XVAQaLkkTwneMzItLIP2NQ8UUYFZN6vmx8SnhDmPHEqlmvvCYptxRho87
bZOZhrwEgriiU1i6pFSrIs+iE1MiAqvEHO87cI3zuh/4lbI4sN6a2GRplsHEPYXMhRt8cmZ+1rrJ
7DeBPwyyXCHlRUPQuSTQd5Ce10SALkMw7hfZtHAbC+7SAf2bQ3qGljcxqQmXPOfMS9sArN2295c7
h8S7csIJUfPnTY4v72GK7joGN3jHWEJe8Ez4z2QAyuQKFE19QKjOwPfjnrdMRKtr0fKdSbxb7n8I
OEQqxL3/TE3r8j3Fsuz1g9Qt/g7KPXjkDetb3bTeBnXQcj/6U+OtK+35z4Qn8EN+X9KSRsb5pnIH
biU78OrumHgNjjZNt65mBm3IO8vh6cqylNMxjJVAqGzcfTxxee9Zz0PRjqCetF1Hu4+VtSwj6QAT
9/SzjIk9ex7ATqYvNlPkeJ1Zyyol+yHeW1Frv/mYMLZJp/N7GQGghCD/jsPaP9ZVtWwGWiybM2Ep
QM+BOt8Ms81CxoiKJ9hDcCZBbZLvEeHqi6YDyw8ozI0MO0qIVUhWIkDGcvav8qJpoVC6wRhySWI/
u58Tpo8iRhu3BuYdPrOV1tTnKJNOZNXz1KTdyFrLM0nUE0tMCb/KZDqsdO28l0X+XIayPvnB2Ilh
NaHLpQ5R9QWqH6EZy0bUOEV2YcBakT3beXdMEEXAs9sroiIQD2kp2xtbqPKK5KNw3aPcfopdbYPF
L4LPujW3hlnqcwPRYl237lq4JG4Ah8plbgyHtp2OTdRVRBP7dBvu8IGXa/ADL3jLdxUNr52BVPGu
svpVkrsPgYkA4mVysspgn8DuHxzxnuSsqrh0oNCghFICQ1AlMB6DHphJkW7QVpEkYiWwlcz8IDEN
RuijK5KSrVTt0sLsfYLI553oSB2zkyglKtUdpp78apphu8khZfHgc1vW67DpGMQS6epftcqab72x
dU9N4rPNxSMCgtEAy5QP8gl/MgB9dNq38Zx6J9cMuHulRVESeThgvKRCuFSNJu4It7siqJIBqgph
OTSGPb5lVpk8TW7+ZCWkbZ4z3Vj3OiUX22ibwQPVVvs7r1f9t2aq/d8jD9VYM4Bmn7nJtpqY4I2H
LIwI4AQBQK97bAMtibJehXPCshAbdKpJrr06SqZrrpfznrResZs7hBaQrcU2jIcn34e2n8ZwN9xg
+NwH49qOE/d32OfTQ2RPxUZmjEpV6iKebe36viGNifKncLb2mI9fsGVdDEz6mBia5tqLo/meGB57
XbpdvivJ3twHfk/X2YdNF+rmov2OHn3tUBltm1yX1+0csEQRxrm2h6jahtQNpy6v5cnEq36w/bI5
pn5nnUtFGAEXrUD8p5FhObQzR629reFzYkxYsZgK5ekdChg65t7JmFN5yyaAzdcihi70DOeYYca/
D8nGVAXAN5MT4Z7RLDXrRIz6GPodYDZ+MFLZjdeG0dOGDo+Pv8a+72Ky0knaEQ8pKtZzOWXtEyYv
4zzlAIHJRnZ53UDt+nvbZzRhA7h1p3YsNFz0tvyULADzVd4BNOH+NtOLWQfewR2UcSOgIazZeV2y
G6xd55JxmpRpjo3Fdd9AkH0ajUWQCGaYOUtdNzsDhFwJwmDAVTK33V4EabS2vZQGNubAzcxwZB+Q
a3bsC/u9ikJra5J0tJaVyJbVSh4nfEhvQS1AqwRlM36iIt5SXddUgrEoNlMq0m3LnOgSaFYUVv4a
XnIp0Q/GpnsQDf474r2nTWPSMLQHEp3PaIxohFeqS/yOhQSNid60tnggUzmToPuzGiSES95k8hAH
Eo2BTPLFGTc3ffjO4h/uosTUm9mTFe6wnpTZMAo45ZcofPatExksTHXsHDzCb54Nmmoe215gOog8
ZbRZmEZ1EuktTYvyOm54LmJcYM+V42XHmewoqMlTugOCMaOEFPzXxMW2wMz/aQhHiGZS5aVlnMCI
UPixkOaYuH1fhedQ5zeINZuXJY7+Cu8OjLGCsHKqgce8M1HyDo1Tg8X1A6RHWk8EVTtVJ455isL2
ZGg5m92BVctHpwS9dECKYFA5kcCqgtug9QeqWaZnoO7i0nsNdMaiHiTJUE0s3xOxPcjK65lGa0I2
mb02M4tww7CBe4GMHTOlesVPxa5rdglhNl7sqXCHlMLOQW3U/Ht67DMBanbeetw9pl9v7Y4aNKoj
qq1iaChEnN5ib4p1lU0nIefxYTIHeaEWzda5HijLGQNUq7+c+P/TIPJneiW9MHsx08KARz9LF+un
s3MvKsaJOjpUDh4fdj5KQSJQhqF2YcvFqike8VF61nEq2UU3gPGa9NRbZv/QWT1JaBF042cMMBTv
TDLZpmVLVW3E1HShNVNNxCG6jywguAKxDEfPwhdZDTQt4PCWuvVINCd9ivfvNTKd/fGhm5dDSTFh
U4yCGDQc8neoWGwrb0DXIHfNEDXTFeHaFGS/vhwLm+mHObcvbZfxv4tKSghUbD/NuXs/jA3FUIS0
+B5dvz+NHXw6B8bwqrZ9GCR0uzD7jY1+Ixd7etAth24dcSiNy7F+yAv9T5/oP/1AC4EPZhqaBfaT
H38gw4bx0LEBItrHswCcycG9SW/luaFXQRy0sZzjBtNs3i3pqmPVUygXQ0kKkyQEI143TbUcJqjQ
f32pFgXDXxUONF1sWkImrRfTpQHzk8KBmWeG0zFODkFJtOomL/FEvMzW3DWfrGmeNcHhPnVsWTD9
gA2dUrb9+gP8h9/Koo1LUiUTdNSd5tKc/UvbZ4hgPM5mGx7s0ffIyS2aMN50vgzMG0mHNOSYElT7
WMVRCC08mAv6oE1wExatvHiikzfMRDmP/PpT/YfLwpQNFhcHPkb7P99AheoC5OBWeCgMDg2kGI2o
k+KS08wyPQE0YlIzd/lMWW30YfX663f/eFx/+lV4e2f5D4c32GA/XpNiclPih2auyZRxiIYqMTFG
aWB+JfwgMF4BTqjBU5fUDYyjXA5uBVRB9N2Wrsxby5kQRa9E2obRoV16L5Wmvf2N/A9OvwWiuX+4
XObPOgjWHxdbkSPpG1gO8M8fP3AkDR1PvWvsVWSzBprlXEQnr/t/7J3JcuRGFmW/CDJMjmEbgZjI
4DwluYExySTgGB2jA/j6PqCkLqmsq6prXxtJZjJmBsmAx/N37z13vepUE8cFB394nu1gNB4qe2F5
MpUp58BMeePDFHocT4kDJ2grFmC1WeHyn5xO/HMi7Z3svtdDjk0eeqNbigHO8CgSeayB0JRbXH5j
skvGpj0uc8nfLmw8oFgmZ3S0gAvB5/dv53+b6P+0ieaM4I34r6WgG+qh/iYC/f4Ff+yfA/M3wWNu
mqTg4KN8m7b+sX8OLExB+LYovuDt/g8RiIQcG2GbR8HyPf61Yif+3D8Hv62Gbd5yjs08Z8GW+C9E
IOuf188+MFZyeEDR4XlzTfuncyjWRkJLqBAn8ArUStjZklMJqeIL/OLjlnQxgQwcKxRVcuex9BRf
BEQgXkNKBZ9ExWLY9bLuhRB595JMCCt/+Un+Pz7h//lA4tXZJt8+L9B2PFDEf3/AQsI3MQKre8pG
t34XqYvX2kyrc/XdT9rIYj6EyqTPWNUk6P79380pzJ/+1/MoWKEaPNiY9XGofesDfz2jIUuwGh9k
AxEr/lE2MfsHPcjwKg/JaESeEv4Zl1QFzXT2/MvJDeWTxX74bVqq5dMfOq5Sapmdi6RIul3uDcWh
L9oh37VN7d35aYCRmY5FcYp12Z8t5ai9ayp3s7QQebOpRCR3x668Se3ZxCZrjRB5AqZDMni+H1Gi
gEk1GFID0bv3JgYNz37FDYATgZXbhjmjvvQ7F8QPQ9E9yZuKm5RbsVTrnSDfE4gOU/BbKZd76Zov
Bh6CHSH9xwGiKmUkS8Ox43uqum5dPgaMdJ0429oZjzPzzzbHLr3JuDkgw/l6hFcKiH2rUmpJS3ua
f1TU2mE6xod2FjqLwcvN/UtAKTouIJPUzwYLxEQtpQiYx5183uuUnoMpJMhmuDZWBypfmvv1mndn
dlJaEexShL/a9PhU9s02CliX7PSA/3s/OhM8McmjdD9hQSFi1TRegTyY9o/WUKe7qvf1cFrbV6nE
tqv+fiLWRUOEoyEWSM8y96yt4mBTxT1r+A18ZosYZbI4l3ibWHQkiQSrC11tZSYvLr9Wyt+PYrRt
2v1oYdtoIX74kOlhO3nVbV61E2iuBoDCIJgU3RYa1CYxJ2pNsqzdtz0Zrpml3YE1aPLZpDbAelMS
hxjHiCc1PHm2X94v9jwS+6wHELkZnR2B6P331O/VcSnNZRcWqj/OElDgvmeQoPI7w0C8ZYE19dux
qboDyUiL1H1Ai11gxc8gH7lF6HRtVfNF+svV5nhj1XiTNrLyy1980uX1xl7gpeNMq6j9Bk4hN2i6
wtl4futlEc/eQ5oYmXNNRfwgMK3HpacfrJZgnto0flWP2xhJJNlmU4xtLsD3/1llTMLECNrsYJu1
/mQdWlob6kvIim8UQqt5BRille94vQp1DCs+A2+6DsL4MiwO0EgnG394E01s55m0/ftiOPQHxuEw
tTwVjdF/VPGQFVEb9g1GH0J/ctcPbWXsanxtV+NsVTNCrt9bu2FksHmYHSqkjvjJUI+NuFp3glVb
JlE7pIl6QwBAkMYStfYozqJij6Nz80iINeWjoK/ObaqlwhDl1O9dzdS6jqq81SezPrF3z+8hvayH
Ifs5itBldZMtA31AQ92EhANC/rZ2/d7mlBwwEEtLs4Pp4vUy4nYvvfQyjPly5NVPCRbcpiYjK2ut
WCWI+lWTm0HRECOrBqDiTrAj/jcZm8Gchp9m1g7mVQZonGLdmH3/VtmqfmepG4qIvSIptvUoD/nO
2eywc9mBn2Ysz41+vJ6kvTwXnWNQhphrZ4HgMcV2XIChdF1rfhfDwGX/Ihilyb/yhEIV3kezlbh4
pKxFjz8qanNkRzhZVO/gUEveOu3SXdbt4l03ncUr5o5aG3sNKyNbff3q0JARuUEDGidkAWnTWWFl
E2uShGmurnmwJFyWm1YUcDjQF2sRBWxgT7hecEphd0rLc2lgEOJIhDcJc16hjlLSPV67DakIxkUR
D1HVtf4b+wBNmBeycbgtkgXbZY1sb27Y7QTtJm18/VoD0rhOvRlDD/nXehMHJtXCLGh2ue7qn53V
PxGd9k4j2y6xRlD13eAVThEZkODGQ8DqFytaADGcUZCogCuyeG8RJr1KnTFmv2OQqkoLzb6UNauH
dDWID2BhlLOM1Nzv4ZHvMrvG6w/uejq7RVZfEs9K6bZfyAD1DYuIqQmUwFzZWpcO+KJTyIqIkEYX
k1bkc2bhWw7nyA2bguRtU/o2SIcOnxvCLAzBufer+VBpB/qnNXpZi18WTIZIhAuajwO/K53u5X+D
Y9XLfv7Pg2PIRPFvBse8eEfrff+n4XH9oj+Gx9D9DasB54WN42flKzCd/TE8surHJ+StdTb2txWI
//WneWF1EK03bgYXm3nvz8HRAe0swC3DycEQwdT53wyO6Cl/n44sE9pDaDM+8goQ0f+5OqQd87Vt
y2ou3N4gEeMW+54lF2boPrgTzAH1SYSJAQkPvw/OntYbjCekjwzHj2dz+Z84ANi4l2Uo44NBC1r7
CLenuMRDKrPbntLINxK7/qtYvOoitZListeZHYUGF3NkUFle4EDFEpeHkFzGrDpnqjFwK6Sq5swf
1HIoZ+tAY8y4TZbUVvsS/St8HeXsBEd4ZyxF+mb2fox6QqiYbeGz8ZXpmScQB5SDbQhSaEKB9Pu4
EgmHbzhh3dZ5slcrCPrMajLtk71RlKa7RsZlOrHNZ3mmr2kN9gJ/jzdxUdfkf/l204lTiADxnLnx
Ef8u8bRdCfsG13yFRQv8FOCZ0BYwntBRrgMbEqHexAU/T7pI53JgyReL0KQ1dBx9/JMpfUofWhcd
1aJ5Sm0AbaYYutl3Vlkd0z03tIsBgnlgS72B5GiU0F9Cet83abBQAh2ROnOXbe6NCZtSstp2SroL
x3e9ZJ+s0+dOEPajwleAUcDajmGf8OLBzqe4vYbksPbcYak2QW1t6H91NhrP/Cbr0uqUGsZ4SISy
H3LqqtBaOpOSBRJfd1ahxd4L1fwOWAyzOWaC7ZzPKQgD1BtSnvkZJpJzqOnMOyFgD4e8Gimxbqoa
xvxYDKdgnCA2pljGy4oKOC9NbtDDKwg5xRR5JKIit2deybykPnZLGN+1pS5f4sqgTDePi2CzGKO6
KTLvKa/L5M5BTrjV6ejfwTgaX1NIAhSY469vVTrd8X6o0fxqySfjFN9SLjaDRVKGvdXDwKiDUhNp
S/rUi+XxcwrP+UgBl3FDEwpsTqSHcD/6rXOOvbg4GFgplsiCiTY/o0fSfxsX3lPjWdUDunQOqDxO
E4STrHGmLQKcP21pZ1tOVYs/aRP2XbmDBdyfNAP6QRd58uzA8rgMF4BSYLqFfmTd1HEnUC3xwIGg
4JelXQZhx1/QodAFq13OjgJuqi1uuc/5p1aLxwx3d5cNrgPta/LPFuYKuoblUlSgCobxBheLfQlu
k/YslwG4z2Z+10PRtXdM7NVz203VYYx99VPb6YvVAHTuiyC44Ddd7oBKuNu5U+DN8efcxV6XXlTu
1D4mUCF+DOix5Zqstz+yujUvjaXio7xpHP9CF1O4dzP1i0hIfLQE2XzQZixdYz+jgTEYfpheVrzM
DFgvju7lijsM8pcG1yKoPp4wz+jbA0tSexf6ut9LBYKvhgwHKqU4IF0Arg0rcaGnDn815TFQAvla
A26vpBREYEPkGmDK2yrOJhzuilkT2KjDu5idbgpMvtjI3ugi12jmXa0HELoxYVx+Lj3ArSLdJoa5
JaSrAcuEVcRF2n52fcO56Y32SS7tQ6YM/3MS4BsxTa9JU4Rin928WrJHv83cyxIfxNnsmbK4YceR
L5NT6Hb+1azbhkdj6B4WmGURHob6wxvILiq91LdOHC4/G1aoFH0YxEfDUivwdIn7lKQ01nkNSIGN
LpsZE3iYXLm2Nbz2giAuWDCqeUtzi+JlLczv7cUgVfLeOan8VWhG5W5szvYQ653w9BSl4wDwi8n+
6Bg+Ssqk9Xy2JxXQ1Ohxf+t7+vM2uZua1xbuin3LdIVmYgb1XZ510MVVb7FbX+XmsZM4YjAB4UNI
Af1OR5u86X2t14UYnV/Ow9jHwc9cl+zhB7naAYJVPyfXMd+7RoyShkr1PuATuww9+BrMOaubDdrZ
dJtYVYwVK0hxz2uavf3VdDCzY732kermTTLAvbYcxCUUO9IXJRPuRtFeezaA0l7DugVbokW97c3p
g9aT6t7S3nxKjLjb8ocioGR4slH8wgNy13SmtQUWS6BIZ9at+KoN91Oqxj5bxAAAmzVc2osw2zVs
xHnIYYIBqAuuQifPz3C7GAWz5SM1icQ1JiOcO01Ptdk+kDE1t4HVppSNc4OQcGX2ktXSwaTe/q6x
2pr+IBtomtvp7pgY6XWRj8neHWQctVVrYWsV7iFD7NnzvH9kSxXcN3antymD4mPiQ+iw0lZd6CzH
Ed/GorgSNREb0VXjVV2ZyZHCgpkNfun1BxcV/Y53bhlVZqhvJRrIZzMhJ21sZRU39CUEz4kXuxe8
QrIxwPK2tVDcFotclLdlbAhqGmfa6Yhsb002SdHcmfJstMDqvKqqD/0wDZE7TP0r4Di4+QFFgqOf
v/Wd9TNrVA6Bw17Ooy4TcsadTm/dgLRZ1dVULpSpvZ2dqfuyyMzvBmseHjIId7tvX0edsPlwcVBE
MAniBzla3TXLn/6gQ6fhVUBFJAfjWLtsCWGQEcBC929T46SR3aWLQlrpn63pFm+g9od9Aojks6Sf
bzcvYNQ49t7SoPjVUk9/AuK92hdy8ieC/6LOOtzMEGGPZBDNk8m2N8Jzae9xNFnnRRnZR5gFwLyL
1DjAGoJ818XFXdYXDhp2Jveqz5rTwECyG4jSHR23XksPmLwMXYtDbqfjpSzpWMU8hyTbW4YRmSi7
20nV486hvfajF1puee2PxJms7TCn3lGPTrOV4mpxtTpWbpljMwjtfW2Jj8ZUdwOlDZsK4AC3xeXA
EW1AXTV+0BAHKjIlKCVp39h4BXzC3Kyv6QO6883uACUaunQJGBZm3LozuA/IQlygPSb7CsDrBqaM
vfFkhYuLSHu3FMk+dim3LQ3jPuwmfSi8ITy6c4YQ7ZR3EGduEW5TKjtN8No1blOvmEFvDVYEkaI4
dCT8o34BAuAmdbAR6UC2Y3QWDmHfuTF6nBOc7f5j79ryuGTEZ0Jh/aJhHabRTDaRTktiaVIJPsjy
lM8DZ7jTthV+yHJGDzZ4+9WdcfSmsaLjHfJjSAvPZhQrIztUw2kq25B0Z0Jdp1yCi7Kf7wop3mjD
ePrfXer/5y6FGGT92yX8Qz38Czv4H1/6px08+E3wR1E/DbT59+vRn9t45zdHQA7+y8Xpz/uU+M1G
XCYeRyja5R7AlvrPO5UNAjowhc+Da3FLA6HyXyzjCez+/U7lsvQ3hekiTfI6LAwAf993D0DOqjaT
NUlln8VQSISVMt5KhoeUEMPeq0CgsgjJgjvabZD/bFnJa+3RBTYCOgmi1hnw68XSeWHSmm+Ba1UP
Y+fFb5SpY/hFPVP4RRZxpOyCjxGSveJSri2lEOzqaaun3CsjrnMks1Juf86Zukt4XVZNbWrhCgfQ
QlM0uyaUbBqgYWoLx7WXTtHCBeyrK5kYMEvP7j43OvcmZZlzm6exuzXqaTR2ZmM49LbMrBa5u1ZZ
ZDipnaI8dPCh6tm7sklrqm1vY54dSse50EvgnCgPM6vdVDTjq1nyoiCXxf0v/hZKHVq3YkseD0Bh
GXsb+E4+J8PvXl8WkF7L9aavc5gTmjpik4z2DgNQ+SX5hR8FuuCtVwnMpdYi48/FEw2IGyxIL9Tf
cMWKeWUvLkPcS6XN/B7AxnQbTzK90UNcPSoW7Dc9AL75EuBFIvjAomwYprEfYNUrCyuG39LAdlpS
FdxNOa+r8RQ/yMyKaSMxHRlT9pJN/t0iF/VmJUFwGxdYGDbM96YVxSEe3wijYL33gxIyIPP6pEp1
k1tNeCvAD3BXhTR07Pj57UfWi+fCk5y8abpaaTjGp3QsEQpFVT/gYwvuDAx91xl71204B4LQO55c
qtawjqKenLArORcGrOkTokR9k7cNsuXilvPO8zPrgsFCb3GWDG4k0Wu642KUPd8zIGVKbJqfmhq3
15Y104syZ9fZhktDNyqbpe7TMkoIH30KLC7Qc3g3Kcxf8+yGD1S1JXcT6YWE/jNuS1tBtJMe6w4J
kwAqZilkh/cAU9w276zwrJTjJ/thNonHTlklj7Hf9MtpGGBnHGQ8GGcb44/G5eyXmENx5eDDgu3T
0zeUCxb5Wg33LNgFw5Yz4RQMDMvZWK3nPVXW7F6lv3tinG+DDODf1S3jfVtnEoKn+GiMP1w13xab
+dtu06zOG+PbhEMCFENO/m3OcX936gR+EOyT9tvBE1Po3F/039ae4tvmQwAKgw9LG8GtfXUCURhl
PDDh0xSdx1d+WfKpvjqHUixE8eolKr5tRdnvHiP7d8dRUpo+0OnViSQcdAS5rCVIq08pXh1L5upd
6h2zOIHE1c+SATUywrS+QiZqdh22p2z1P0kwMewkM9sKkDpS/ex5ceIdebyNx2p1UNVty3JhQFpW
CFF4rCgxoo1l9V0x9HZYsCpew3E2JdascbCHaO6n6dIARXyCPCyiOazu6yU499xnUPSsjjm5ni60
zIadDx5l51L0Q/cuvfOGa3yKhZOmiOHzxMthCiyYttK2NrPq/WsuzA8ECIi1J3rVOcSz1a6sxmGg
bmoe6hsdmPdA822YgjTCokOBIHSb1WDPbSDAL7THcrHtMlFdmpXqfmWzf20udvxKzFIfJ90UD5VH
x2M21h0bCrA2LsjeW2j1zr5Z/UBaptQiecu1bALyoK7Zb1OqaPaUkuDONfgqi1pcULltrTDlLa91
zPUOc+jNotqrXucx2/mU0m4iKIcmrtp9Bgruitlb33gdewrJypk1bnOopBXsZDzHe7xGGRcAQdOL
BU9iqen0K8aR8h3yM5dzgQt18JO3dZMeJRYFoLmP9RLSVr0p+rp9IZWuj2aZ9E9gj3reGNo4JO30
NbRecZjxd+76FtfWaNnxm5MLo9xMa2oISaLMcCfa5mnwWFIfndIVlxURl30Ysq7ZKPZDBzXk7kUA
lX07GYZ/N6g0PMiFj6as7CQjrctAOHqLfz13DbAerBoy2wWN7Bn5mvg5bASPrChjiNBDCsEgaH5W
dV5zG59k/kPhXGSXPgKNl3awL3GgH2ooxq9Kx+YLw7pBUIo8VK2r5ZptV305N7o9lk4Z3Dn8j6vO
m4ybbmUA4cowt1aIZTjpkCZastHThstGbl2IKUvOYV4GIVXRosEjLQd/m9uUJ24aj+2Nq7m/CVLm
25Gl6LXDFXSDHWZqN4bCOuajOB185ecXXGZQpBQXlIbd5nOvzI4lVFc1kRy4kZtOe+/FWX1H5715
7WR5FQWE9tGIeRu44EUnu9tOVuoebUyem7FzjVPL7uOXw2LsF87WtSkJbNuWm7EGYo/35aJaiSvb
bG4gNQlpPdUwhO5TliWfgJOSnQqb4NzE9psRDl9SVskPnAektOfK3HaueKpcYeCj7WAmOvnIogP3
4DI38VPSugd6xt9ib/gI7EYcQOD3pG9YrDpy/jGPcxj1RW1Hvk+ZGxVNm9ExT1BVUbotW/1KADoT
mjHqyMbDeBztoaq39jK7O8gy1m2B93GXdzq/qyzvukpQ2GDTDruyt7lT2TTq9FudtlrtOqtcrpO5
j3eq7D5pNnic64hRivmCUmKYks6IG5TsRyQoK2g24Xq4Qipdh5km2PaUm24mPuV2aRVTLpPnj4bt
sUMknf5GPBRnjQz8X63V3hM8/YJQQauLxBBr+K8V3nsucqRPptz0L8I5Xs7KpPHAdwA9JFRiLuFw
AX0s5uxUakfmlEKrZKShYZrLkzMqEFlcejLPepJ6zs8F73muVp61t9qOxt2sRz03s0M7Fuqi7qcH
d0m7vbWkFWvPldKRLZ+YyN1t7wz1A+3141ZycYIlUToztcJg2YUHc3OuunIPSL3ctEbwESf2Dxzs
8avZCOcGXwluzECwL+h5X4mP0i6tE9Gkjho4qS6B2teXQ2P/8ksNvNUibpc3KfvmQpG06/QxUFBG
O1e5O9mADR0DLz0wsfj3Fi1sEcpWtjeZHm/syo9v6Um6aPmlU5BB3MO8TufO3eJ75C1qBUk0pxN9
fVZmXTsqewJB7N3HUzoclJZiYNdc1fdDOsAXphHVB9MuWOhuXD7Sz0bTeZA2l+eeeMs6bDZWdYMi
mGxdHV6ieH5BOTs2dsmm2zBvYt3dLAVFfGkP87PzCdyXb20BfG3ppkfdDbfK6lnLVVdMa1gOvQWA
QY+DHdh7zgw4JLSO8JizoocZLxwp4Kj4rjhjcQjOXtkA4EKptGdkX+Co5XJrt1X+P+omvNn/LKI5
XN+QsP61iPb4a3rv/qqg/fEVfypozm/wiInqWiH8zN9R4/9XQfN+8wj3+swqcDNoz/mHgub95oYe
/wsfpGu69gr8+uPGZ4vfMEiCcyI2zOy28rn+ixufhWnr71c+wq4C/2mIeGKtd097hVf9xQjK82KM
MG/Mk8Yv8jIarr/pivkjmOziesFguEsN+iUmOt7vfR1c4YjFDDFmzYOqjQfs2d3FMAOZXnldV8BP
jNMcO158GOssvaVt0XgffLA2oVebzdENYp83srCT7pYakNm5c12Z2yWr78LyTzTdBPY1+GKzfurI
a0A/MegndQ4q75W6QlcgjrM1yXJSzIHs1pdUCMawvzHFJyaHvCJg1jwVAYEi/Ndk0KyLNJw8UJxI
W/3OT02326eFaytALYksOA8BU5rmZiIEQI6O9mzrwq9nVuVz0jV89NdWzU7MpQH1ENg+TS6QOQQs
mXyWfvYYz4YxjKQa8rGJUizF71kVB5+Jl5H2I0+K03m34gFGTO34+U2wuy1kzp6X0B1ySrgviX8v
dHbC/LiMM4tPNN3zGO9HfDrjbqmx9ERBnR3pCFKvUyWhFxWV00OGmYKdhpD1Oo9Aw/DLp0fZyYcE
Awu/rCG7ajjAjpmtn7MaOStDutxYZZgc6SjEEdSUSfoiJ8nVcx7lyQ+mq9ptL1NUpRc6/aotOsKt
U06IlNUYcjtOvI9+ivWmHfQrSRKuB7hJ8sk5JVP+PI09BUahldGB4/5MJOgoJ86HBzALAB24px24
H5F+q6iT86HZdH6KNmlXB9Rdijrls1fYX+Ts+8ulq2FV5cn1giECBbF/rcvuohzr6kgVqkKEcKKJ
cr9NNyOoKGUC4W6W2zSB853b+fOa6o4GTv1dXo6/2PB5QLuX+FaHyHcseo1NOKx1804c5ZyuB3d0
GZYhttgQqKNxRNtL2NxzkON6oKyyvQp6be9WsNsJcVbCmlrEZjCSdLt0TfATLWA8lKOQPymbRKdh
JbFTjTDuEzW76KDJL9xI9Y0wKPfo5fRQlXNxIO1F6apU8ljla2Rdmt4GRxDuYnDo+x5gxolzId1T
jRfuQdDyqZUa4WH09C9acMoTF9k6QvojCZwMEurRJH/W7GO3o6BiD98xcFGz7MAwO5CCKmha+Hs9
wGFjsUN3IEhtT4+WqMwNbUjPRhGfFvDpm7JT0MV640VQtbRx8im7SBuBZ0i58mvtMHgDc8NnJ031
uXbhcI6N59KPY+bncsyHS8/reeKHNmgQ4xfjq0ZCR68Cc0BTkR+Y+Juykc+2uZwMUDfmcM8GRfsP
hZurWwqhaf5q4lZeK/hyewbeYLfWH3ONob3psfPKHgXEWpIDjTY2rfNJW7Jn7/nbeGOhzFFy/zEU
jbM143G8zXRubceRt0USjgVGsGmaPxvFobpLfHe+wAJEdKqnHRTZhLcWZK/ZM6dtw6tdDYy6/7JI
X0tu7DF7r2kY0i8Qo2TDAx02XMbMRulrOxDdayd4twC7daF0W2NpXqZVWB7Q4RXihmEfTJv1bZNT
fD5n9OKmNafEBHO+NrkzCO4GKzOIXLpqnB3iWXFgXiKTGyw/Joy9zz6NU9dFZgCiyl/sRZpUwFJL
VTbc5I3Gvc5MO4+gjmeg2eVn3AVtJG0ln8s2Q7/BJCqv7HYeUXcxs0WLVVq3LLCe0OFy9sggEs/K
LeoLK8Q64TvjeWSHdu86ofGQo/a926WQUZIDxlvKkOqJIUl5jJFMaT0jgbvn0mdeeTHQwj7uufX1
fX9ddGkNa1Vi+DTM+dCuTy2aqEemjhxm3BAQNuhkhbs03uJUkASYu6O2zBTK0LrYboKFZFTsVXcY
hV7ptxRHdyzDj9bu7vzJZUHe5fhAnaCHHrCuz0nh7mxnPLmFFeBf4N696S3Vf8W16+4yozcuZ4yQ
hBBZ2FfmQma9nnCHJcG697c4D4L5WqKl3CyGOV7Nkkrmah4AyFRs7qcO1Oro28OO9X1ySEN32pja
DrZhlg0bZbWH2UhazuD+Khw4tRZnnjcYV3gnEp079blLA5WmQyKx9P0QLESzAlaC9ap28L2Fx2aa
DgaNUafWHGNu1pPJFjEsP+ZVOTExG26HVU1RHd2z2bfEArune8SlAmQwyOeocYsw6vrmBFMYV4mh
vqbGfyqlX++WEJnI7BTEhBmktOFSr5NWU7ofhnK6MPLmc+W4M24OSOwFnlW93jptv7qxmUzQU/nF
Vuac7fWqGi2rfmSsSlKj8PniUKGpISHXZwR8z0OeFVjgcs67xntbVkWqWrWpNO/f7DrPL4WKSViC
493EDl44KjqsM++B7tCt0pbO8y/sbOF+Ustbotb6gm8RLJtFfBXXJFOwGHP0k3H/Sbm43ppF397G
1A9u01VH024w8uFuo1ebCV468cWN85fby2JfCAaGcXJfSiyWoN265rkI+KOWFseI4ur91ZJQZ9TP
cG9wiG78VdSDU5LdhXatTua33Jf3/BhQAYcyNiMO05pTW44vADv5wOidBykpMRgTlk/ZFHCue7L4
idnXxpCM2Di4pbfPKDSmPd6o9l22lGfbsvWunxd3Ozrzzy6NZ0D8nr/RIa+B8rx8Z3Jpfu5Me7nN
na7mB7qAdt+k/jDRGpArXv7Y59krj33es9SpgsfGF3ytY84P2LhPEJz11ijC5G7oCn0raHZ79TPv
QXie3iK5X7t23R2dIUho600ztcPJxw+a3a77xJYSopHgbjH3wc5dYs9egY/JimcmkE9XI6ZnMurW
Nqltlm9TxYqN3/OqwtY3o7X0R3OZ/KM/ieBN5535ikv0I1Nxf7OYjgGNfEzHY6Z650aU3sgSPKMI
EQt6PyKhUR9N1Jl9thC8I8zyngS9uCdN2JlbTk2DEcNW9la4XfHVtQ49kTyoCb9TIPdrsLT1DkpZ
gkemYgV/5JILFxvp3ovmxHlQkiYtvzfP8GezH7DHzZ8Qoi8KTWAzyuo02TaJ81l4nWANJ+0PXBf4
lxZCOPmGfN50Ut8WB5lTEhZRRjF9mKsZQn3bIlaDRLxaJUYaHg+EjG+xkF3GXBHpQefjYDpaxkLD
3uiN/mcMcXmb2p1/E/ZCvgjVutSASxHhGyp2gspMkuBqYZnTsFOue6e+bx2XLmpafrtriClE7s24
xs3TqwG9sg36MkI4wGCyWk2Iy2f7eLWgkOWwd4rXdehbzzhkmEPLQ+MX8oXTLH/hI274UdDb8ZBn
PeWFhEtPptBMvHHjXTTVSOBZGl1Mt7yni+fEltl8ORozNu0lJZIPyKSGZoiFVMHNvrBXI05aTla+
mdyKevMxobDDxLXTL1P/YgbL8CmUHo9BV4eXdZb1N26Stk+1I9qc56/O+shpvCgvBe4ipqvlOQTe
WWdcHzpaoC1O2C33JECrS6gcApSFmsedzHgeLsPALctdsNqbNCWj3o8EpsYSjQGFZkQW3JAHscUg
RfCSzb+bu9615+Tp6+hrAtiEvh+KpYJHg5fMuCqqSb7Gpaj2pJ2he5bLVLDxr8wIU3wSbFz4OQHG
VVxeJv3bd9C/quNUcry2ZfhAtKJiCGuGn9XqFzNSP9t7/ZJctt+Osm9zWV+O5aOVYt9xTN8+6NWF
lq1+NECaaQRTqdgqYymQYFqaEfXqY0MMa9tILAg52ShzwEgWLTPVQqmLnVXHwZ+SW1s58Xwf+Flb
30wJhJooJCJDK+s2wAHJsFCyIgVOQfDXRgj4ZNyUKxgt9xvtPhD1/oamDXMd+G13zMIUGiM4NhBr
xeQaW6+DPIa/sGojp0s5R6cAv0+Ns/DYp554gbBSDhGEN0gnbc6z+DP0gjgyjSxOznJcSfi8hdts
RwZBR54NjH2bgzLg9AFge8b0qI4D+Y37qQHEUGK0PyzCS6Oxp+2d3ao6tbwno6F35FlloGxje/C/
yrZ2P8xqXZi3knX1YSrVY5eHsXy1LMTLEns9W0aPZqtuWVamfBD8gmiRHD3g8KTvUXy2DVXtz0um
zZ30OJ13IUSifWd3y7vJYH2pZyU2Bffj2lfmoeaPBSHa9HdKSfUjndzyXmtLXCxK6q1duioSqUWs
w0pLZ5fkGLSgojId/B/2zmNJbiTN1q8yNnuUwQGHAxizuwmtUitmbmAsCmjl0Hj6+yGq6w6L3cOe
vuvekcUiIxGBcPzinO/Ui8Q9xVWjdVLeSlnnJCAK+dJQRW7ZXBCFVYhkG/KsozhH5jVaut12mXtk
1ttvShr3xzaM/Z1OTeuzA5LyAE2jWgWszlYZxKCVG5fRPg7tfqNLEFx2nCs+3iYafs98FJJIse7s
MfK/mgW6E34SFKmmxVrAmg6kS9eUUl14SWlpxxVRucOW+6YmOnt0tjUrCfKi5szEBB9H2yHIAdVk
PMaD0Ug/Gmp6yKVufjDiwEYiwpOkGFRB7mTGFAxY1ISkw7Z3hAsinPFd46615+mxGmBfsqq8GXFi
srwrbE0FbmRbeJfRt6pS8iYI4piDtg7xzmKSSRsO/o74wykDaYpzCPlQ2vY8dIbpIWpN/7YfQ2Tt
jDoPqYrB/WYsSc2mLE+xKe49D7F80zTkwXeL2MxlK1yQlE3sJRvL29SoNaZJUAIiC+QqyXz7HXWm
C5mwwQOZx1H+blTNO5LBdBX13l46oyDfs+q/miMPVi825+MEX433r0OI2jstOSFAw1jpsBtK3BAf
15x9Jscu2vZ8WlA8xk+wns5RCHF4rjGvZJ+apF/ut84st5CB8ciMtr1VCxAqi31IzHHjfE7Rh65y
CMpramaifhb4abaFrLjuQjkSmqySgrulcffCTN21pWV8ycIwvWf+YJqbjvBLb9vjZbttWupt0EkE
IC/jn9FrqqNf1xnpbP18YPdvfhsKWrSEfLADGEPCnozaQinkMhGo9Jc2GtuTS2rtysTOdWKutYmi
qTqy9Kp5ABvpieVo/zCnUQi4pv6dfo1SbCpibANzkh8J7u1Tsuqa6Y3lAkasfrixUQu8Uko9x0ZN
eitklnOkkCbU40zhWEZY2OZlzN4ZelP03Ycv6ptBTDZ4b+u1MDjyMPDJXaUgMg2O7b1Fo8hXQGVY
cJtev0ZW6DwTZU2M5Jxa52KKLrFRvLeVS8pIEz1pJb7bnKS7YaI6KsIKG1JpvdsRMFq7L+TXBv3e
xgy1jc8lfx1xXH6vqtyYd2HhEXXM1IPie6xIZptV/khOGxTiMkzEpq284KM3OzYeY9+D0fWn4bFG
AcnKzAvY5jCAGHZOI6eY4p9xucxG5Fad7T8CvycFurKdUnF5gduxLohag29CvlVmqk+MwVfDHGNI
m8Jgw0dVuTdp4lR3vZIMCUQKGM2a01isYM9kIEm8TDTbzoyqW7iF3pFf8Edp4X23QutRJgThprBR
Tlge09Pk8HDFwfYlSMFJ7YlZwautlo2Eiw3YycbTHLuwaUzxqnkkYSlBAN1ZyyywKhhp+x3JsEKx
6HFgBAUxWkLLoRIOG4sjQY26Hw5J2R3cvv4Ivfk0csOTG16x2QmNm8Bn9zpnTr1FTniqBMJ/AAru
1k1Vdqocxn9ovJo15NoazdxorQOCw3XYP0DS+2rmMXd8MDks/YuHWi7hLfnkHguJGNY12mhP78IA
cc6Nu8GSbzEonHMbGNVm0Cpeh5kN8tisQngiuTiMoAU22umaI5xRk8lFW+IBB1oyBP5DR7rWIQkQ
vkXl9JES1bu22sneuamGodLavwdOL54Gz0k3amTvvkb+PnxzGrd/4uxDpKYgnrqEjJ00vHLPFMla
BAYIOTDKzFlIJdxqM00PvipuZJs162C2Zbex4sFnpx2KnHWDGaWnBfUu/LmEkTNVnxtRlkTuSnvh
1c/zF9R77BuImzQ+lyrXd66ZEYrMA0+j3XZHgCWJvrjQiddgY5NogxeO1YoMt3Y+Tb9TZ/HVCqv8
M0nV3l052MHN3EbdFyNW35EeTECk4JaeasbQD/MoA9g87lCsq9gcXrzR6e4JWJfzrR69Erijm5d7
pqA5Yt2WJHRkwkQPlrgrWfXHIznhMZY4JAYVomorol8IjFvipJ2eeONGHuKgf55C54UKwXmqoerj
NJ3aA98DhCS6YUvne6+DB78cs6j1FEJiW4Nou/NEE3zOR3hvsHS8NXQLZAoZTbpxHiyKmgspmc2q
bvvoTA3RjrsQTMsasZTqQFdx/qxUS1Id+PGB0BwQZpB0mIVR0+RKrAqaG8q7oazg06hSv+pK1ue6
9jwkx/Dt8YGZzPgmMHrriXPhXZGDbN+yizKfe/4BtfGIwXnrUuBJfI0DhkYMqIFtFVNzY3dVd3G5
e4CVVQNi0rqIkXRWFWQ2Bjw4H7uQimkayIy32pxgvHaphDhl3iG8uB9SRyAgiGpvD5UHLK82xpqi
1ZOoL0Mj69egJMYnp6sIUyhMNmUr2jCPT8LwX7Or8CJC4b0pwoBoGmZq0+OU9iPJiXzRtjMIJihs
DY33aPGIpgTNq01vV98HyustK4IHwvqwyjXKPFXIpTZO1RGxEAf1wxj21luSUIFjAuTAnrUj7pt6
ofggx/IeG0fzPOUsK+8zbBVvhoy7kx3VzGUWfOiNnoz2La0M89YkQ2pvVQS10rw29kNDWsejbwS0
L1oE/tkwIut3iB/pqW28/smybIaho9XxLS0LjtVV7njIRYlfQqhCXgJfykHyxOoGpoIrW/thcsuE
v+V54ms7OyfCmpxdqwaHTzonv7vVIVHXaXM/hw2ORTVV1hb7xPhsEiBwSiRHZZFF0/esysU7yegU
arMCIsekQ99GPoK3VZjE9VunyLQeDJ66YSl5mHFLbWh24q0ZNsm+MtCdrBiNnnUwukuae7utYPVf
KlEUDZW9MC8lGOIXDMEtnscRngYKJ7lWWgYcJ63xUKV1dQtxzzvkmJ62TT9X+6Fhx21XBE6sDD20
N16W25+Y3oI1wxn6bFLfXXRZDwQXUP0zznSZ0hggCqOkXwOtBEvFLoNMoia/6Vr/i9ELeEoixyYR
Oe3GIKHxxu/5amARjtjt2kdYdt499q7xOExOf1KGOxP3CUFd4inmpvHdNfNmfWrwRN+gdE4vcD1+
J2KT2IZgQmTuTZ/DKSd6XYLVCUixj1YiyJmV6ekVg0+wczWJkpU121uDG30f9VWz7jXxi6ArmdmU
aTFZpLGQCmOPYqPQdK5ap6SWNWf9Hmcw22kV5sOkR4X1WbDG9dySObCAyLkpHKvPHkcnIg8j4mGT
OIuQBGBKejHcejM4rG+YsQoqjTLaCeQ5K7+cb5105r+bwUNjj9PdAAwImHT66jfWJzvksHaMYhtL
m8AoQuD8AqMBDrd4MwxRuGmMzNyQgVHuLJHKwyDzvQyTx9nD9wpZ21n7HSaokLgvDBVErSb1G8C6
5F6F3SEwrAOFVbvvMZd/GCNrEAudtW3iTDdnKuQRTOS+wu+6QsrxOfeT+mHo6gfUdtm0MkuPR7tY
GsEoM+48DKBr9A/RsS5M6yJ746s03O6mtAq90pz/q5g1GIMeX35qB3btYT5e+qoajzqr/+39/N+t
rUHosOj9n9fWr990XhbtXxbXf/ydP4XK4jeQSbav+JCvABDsl39bXLs2rlDpmiTKij9UzP9vcS2d
35Dskh5lQTWifnD/2/4prd9c4PGMXrCACtOR7r+yuF6wID+gMSxSmwQ5VPyEvMiyI//r1toTJODA
GnMOnkc/nUcR6YIh4IAf3pP/Bf7DU8LmGglPsH2W4+ZPfJ2gw6Jvk1tz6JICN31v+jSwY1B+LEm5
97nCfJ/BqQDUNMMk+fVrL5/Xj5cIMBzXD4kcyAfoKHmz/3qJEfxnUnc8/xBKv0w5r5qBuR4yasKE
00ceMOXn0M8rn+kS+5VmnuJvowHcjypH2ZsMyedq6lCotJT1a7s26lOXlhEStGSpcbKAvfakETVx
JNx0jRs85mShbP4/LsJFVCBwhjrcSD+9g6aWFQbSmSXHjI19lMAicgMkLQXg9FLboFMCkUJHNnJC
noV5Jbp23gaQOPTFNvYXgbQ13pdMaWgEgUIBDZnxaaY40f0+ZaUzAH2NuxaS89yiF8hRwf36Grhl
/+5zYLDh4zD28DRbP2niYUh33eQOPjEE1bDR5pzRqekJrV3y/devtODifripr58482YbdQexCEhC
/vqJ0wk0y2LDP/R2aB6mFqpvq7z6pFu7fjAd1NK/fr2fvkTX1/NBy2DHlstCarkDf5B+WKIpCixt
vF4Y6wdOlGY1d1Aufv0q/+D9kxDubYemFwvDz1QtX3NcZIPhHbQFxgw1w/fK9uND2njPv36hKzXt
p/fPsQToOb54SNF+PhSSEJ3NwD14sGb68tltiLfxuWemiQ9uyu1lDBMpQl/KNn1EOOFdqkyx8UEQ
/xgRV3zOHad+0NOCDVY9aqpKLJZAQiCYeyxMojKDXhBzb76AcwbqgZZf4rlJBnTJMuRFxmpJcPFw
+TSWat4GNceHX1+k7S3321+uEkGK4GhwLZeaxnfQBv34qS1MjC6a9XgYMIox8iGMBTh2c2RUle7K
JapFkdkyZprwliXGhZs3ORB20+16dqI7RjT6tromv7RkwNSqMN+Elca3DlK2D3cgKob13VaLwXoS
fl5DHgSOudYUX8+Wmfq7CKYIhneiZ6KwsKj6iaPBky6SPvzgOEsPqiWyJuwsB6sZMTY8XaJDTlzQ
1g5VfMDlOmHHI/gGgL/YN3bpPeP3S46JwdygIAkVt3UYfImwz6xzEsqPZBP1dxWAznrVL0E7uUfk
Th/gqat6i9JVVt0a6jdbuFZguk6xyL+2JPdkS4QPjb1x52D4/jpN06LqJ+onTFt77wSSyj1R2PVm
WpoNFaaEG2Cbz1XX5G9uGKXfKxGVKI1Mf2IbpVFtrobStOkIovGTC+lo4y5BRAQmZsdkSkYg4L66
U0tgEcHCS35JHg93jOxQEicL2JqMI2MJO4pIPTKW+CN0TwaesRi+katPec4CMVOixibtH8feKG4J
CgX9PRa0bqFmOmS4BfqR5LK8nygbk2pNxqGxQjZDeBGBYQ74eUybkXkkFS+/yIAwJ+Oa6yRg9tyK
zsCXOi3BTybPF1pdwqBghXjHbpb2Z41B+p4ApYa1tdn569ptgN3JHUwD7oglZKqrbftzuQRPpZEF
spyhf75aKrsXGtGOqhnzHPRdVJpLgNVAklUU2Q9WQJAcZ1t/RKc7rSaDrIkVcbxfbc1nznCteph0
dhMHxD2CeUox/GcdExpitKK8JWLFpDW0wNOboWQK64/hE9qaG+wBH9ESyBW1rfkYLCFdiVZvTG+R
LRQF05omWRtLpFcLYntna82+eewGgAdEf5X9TAgYmQirLgG83S4RYS5dC0cUsWEiv7oOy8U/QKgY
49ViPS1BY8YSOVaBfthF5DWtcUiB8AVSulDvkLNseAylcDs9RXrZEKNGCok0001jnB308pd2CTzT
bAw/J3RVoGYaF+7TNRvNtJLqbr4mpolGEJ42CXlkWZ8dxBKt5pZ8XZRBpFpK8BJzu25rYXlnGRzV
K+YtwXo0k+KL7mX4KQHs/1W5zfTJ7vVwyhkzHNPeJ4UqrOQFHyXomxYHADrl/tihO7szJib2RMmx
HF2x+2vEEdeXO9cbUStgzGaIFt+YxxfZm8XOXqp7M8ULinSEIKwJTRV2k3gvVF1cYibfzAmYMzgl
v02KLsWrocb6OjjcqLKb9obCpFQ3ZkrkWj9971s9lLeE8GSbYOGpzf2EOqlE2VJhgd3EIU8OMUPI
ssyu2jIRtrZcsT65CmL3gMlkY0XmdEbL3rwheZB3Fl/U24mYvm6TBqB3kdeU/TfoaAOOJpO2DQ7W
l4gt2Q7uj/t65SoVjiueDZP6guVJdJemA9VJT8lXlrAtVOjDeAqIhqhXnYA0N5oqfcwwdXxKEjvd
pOY8bPCyjfeGU2HISIV9HCTRghU279eybbC/MDn4OhuRecgS4NqJ5iJJa5tvVFYCm0L4eJgmu7q1
ozk4uY3myTXY+MCUzXgwKYtq6+ueK4f0cYfCa9g4nQ1BuyW0XDoyvJvdink5qy/+juVnQKAYH647
bfOTpJ1v7vu+5ZIMJUL8OC7gHbQDztb2I+dOcDCwb8IpUbXWzPpXZWvf7YITtYqzrgLlI+XK9KlX
3K/CZlJBDdy/xuB4t3Zp1adkAo+xorax2DDk9R7ihXNmkWc8TrwAwE6W6Yj22S1unClyPsD7MoMG
2tY+mi6EWOg/3aM2cfRoNxKf0DaemxTPDfPfct8kFv0/9aJ9dkYTozuHgtCdfYt/mNkj2jtYxZZa
91kCxsgOItIBumcmpYAy2jZeoWRwtggwEYUXPmaAKOz3uuqnaM/b76ZftPTq6KKbvO65m5mqo9zB
m9/m2txoGwfExWcDXHGyTuQgYu+Q0S0arjGfj9fH+78pl/8EVmQ7WFt/qIT+LvDsNdYhZtK/wIr+
9pf+7FixyUrCzhSC5kVNvcAa/9tbi/oaW6uPUZbK+sekJZ98psWSa5q2UlSP6J//NNcSwmQrCjDq
Sc+yLEKY/gWptSvgKP21cOPlGZfzT/JToN5eyvEfym2vB/ZeTqGgZ0UDNWA59XiyETSA1qC+xIO9
HckgmAqPNIJuCSbgrMNTsIQVQOHtbu1SxStOAHvnuIEIttp1vPtoiTrQS+hBWRBhsKItP9ZB+xzw
FPbWU1d/Nhnc6XjDNjx8gQhTvFqtwoubD1QCPY7Xr05QENYSUfiTY+R8LkyoQcxqWSraFVXfauke
XltVGt/S0R1feODl4zcfdKabnOJGDrcMsLc6B0cRjsnZTNLK26seh+pgy5CeLDQ6edu1lhCc0qXx
bEiH3AGcJf22QkEBUR3FR5PHtcRDaI+3Qo+oXdLI+8jSzLPODR0sbwsAsYMYhxDOkmCrmSrG3ybt
+TbwBqA+oiaHM2jS32U+F2ceGHAUvVluHPKNPumkKbaOCCRlHkdihv7sFR7Z9EhakqDCbHh2EcZc
3SPANF3Ac7jOTAqwd45tHuENFIzIbCLc/nATyGjta/e1anBGMswfwRPPGpPtakwCYOWBv2RCUU22
1l2NS5pQCMzbz7r2CLesUImu6LPhloYS94YPDGRkYcK7zGEXsgsgxMRPGdWsrgDzEO4+bt5qEcG0
xMMtCExSdRqchYt+qWElYZNFj9iF7pH5dIRyDGJETUjKgLjwLHQGreT6y0wkfK4BO1C1qjs6P0J0
cv6OY0+pe6mWNBXLB4izdlqWrYn0GJw6ncIu2UsaoiwKQZiHIzlHyBdh+xUtcU4UlEQCaG/xoPpa
imdLOFxG3vXxfiB/FeNk65MYs2SOVHiom71sMTWt9NjMZx+NDdeZk1pFFjM88kTOXNCVkIJ+CLBy
m87kyKAu5AcYwLiE7LQS3t28D0irolcJ4H72gECcSdsQKuEWyw1zWGXdBv2SXdO0gRke26oHUByi
KfqKpxbuCd4/NLx4sUhuoprN9hkCpHoN2aFv+hU+SP6A7Qf//KiWi/eYLYC2s1LeQT2M/Je5Zvgj
FaOMkWqbYJ6GCRCzVGMtjYqLCHDT3ntxry7XV1RuB869Nwgsopvi3qx7ei5yhok1GhAseGtbOpgG
5GD1855CVX42qcNJzyDV96xMXb3XFnXaCvGsPoRx4siHa/ZPateQzuB062aLQY7spNqK+fdDO+Oy
Jiq/C7Bx9cbcfDJerz+ll9HlH7JJoh0nLpwf1qkUd5kBBe7W1xnKzixtgHY1amE4oqSv5ycMowyh
ymz5SC30trwnySJAayd/gd40+B11ye/9aYHO/xFUZZQ032m55ErRSOJOHDJOKDcBGS1zU0y7Bdf/
HRUOd2SijOWeEouKLHQML9+TvjhAkBX52K2jKh2BUqftsGl9yhN8k8OjuSSo9clECBp3GoKassM6
nEUFdE9f+tWl9ehIKgc2q2MZNToPC5p+l2MmXk+6cRfySnBO/Ml/5cNEWWRTbD0m0dQS3qSb6p0t
WcOiILHGp567eJ+gzNph9AMa04cOtXvbfEkMOAqs6vlaZH42PnkKnaBraW5sSw+ai+ENuCjmBFwd
2lgbT4mD87cF8mlvHL9gQc1bhrJipNVHBe27X+oqYSQmitKztwSZY/a1GgzyYZjII1533t9pjIJX
7bqcIF0N89S18uEOzZHcgkiz6CZbe1hZdcC6K2cEd7THhWmWeVFEXOUU4nSsisesL5FB9SmYx5VL
O/fCCsLdGZTT36Sb26dAt/Eh6T3xNXPc+dULu9HdgZlLLjVr8G82CJrnznGmI1R/UFuMFNdlbLwA
FtKv9PYNKccpu/DMJ2oL4BHJK6ORXQTNLP9tLHamh7e/CM35G3k9OOwJ1WzORNW7S2iBi38inwP7
HTQWy3fAvRghmTrTqOr0JncA1TnkLFA3ji2FXxzM7sUJ61utdP7NcfwId6dHy4rhssaa2o7eLUOo
R2J8rHHLqNIGzeD1jbhkbGXqB7pfQBAmZoBejTtk6v0G/091M+AVhU/aBfdFrzlNJhfnhlF1j+zT
2MkMIIpav8GVgNzdvlQpG4+XoLLLV3DC+ikb5H3k9PXjtIQyDGEj6FKF+1S4bFJAT7XeXY1/9BC7
GV1NGJmfQmsYzzLwnufQUm9dM1n7EkiX3jtDUS6JzhWEWrSL/hYyx2GsiK3vKuu+aTAnKvR8BBKb
kUkk2YzEKKhb8wEtfolyzDW3WaLFqkkA/yFVakmpAYOMijEKouEjqMY8W6Nkc7BQ5ojDD6AQCTo2
hMyIUKzLtTea7bOFXeo9tpBW8Ci0zbsukaxaaSePvQLBzToy+Rh5vJ8B63W3rWV+LDvwm4rpNLvn
YawUBMKgvWByTDY9Q8mnyTfkeRoT8ZAK1X4HHqw/Jj8s689ja2b9Q6x0QAKBntNjmKWIBmr9yZrm
4CGKBCYeheGVUpAFUivsddZQ0rgKclhjG3dat2rbWDaC5Qm8cNYO46VeTN+BM6FXitv+3YtVsAlz
0tD9ynfumA2AgEqLCOutiVXp1jWC9IZgNKvYRCzoHwAUOxtXdsOWt8td9VKNJ5aaxQcTaGw6ZfUS
dJV5Sk392vJI3CI/coDbme/CCo/JkDQXY3Lkp2Fgm8d3btKoORqxDYwoOjchLZzN8OGmc/XB6xj5
pK7VoqnF9E98VDXKyxC1kiv06O8i0mI3YWV1LMwng6RGbhUTJEc+eOXBysRbwFJ5FWaKDbdFk84I
adGYsJwUFUq/xsJFG420daHto3mmj1UrgCVS7HwJuWKFJNR+8EKp7j2Et0+llkhDNQ5dridq1+k8
kuHTAufSqKZQHr8os2afqdlHCnsk+oahBkTpPH/CsNMXUEeSbGcVIt6MVpbg+F3cWOyLHWSgbNXv
81ETb4Vu/dnUuj9Pjb0wwfmLPcbbG06gnsCqJm42be4/2K3Z76uii/itJaszTvT6MXJytAoYkIdt
VxawWKKhFKcO0PAD0nwauUAdQTVAa0uZ4JIyGWCKyrvXqIsYmMAUZ+cESzIc+/ClxzuAaGFEil43
9klV+XgYTeTl0o+8HdNGPgeA0gPZc7mJscJzO0WEVRoBsseqlK6r0SHFI+54OmYRrgzE29m+wqPw
in7SWPUA/Z7w37u7ZqyDhAGLwN5MuukGuBYUTIwS5qgFGS6KvT2xQHIzY0k8l3KSDGiiqTuPWqIE
sKwRIATnKbAOQG5rl/Pma1J36jujzmEbp8qZD5HfZl8q160PvvaDbbaUVljYifjuJ2ZHSCsIdM8T
BaemrtBK9tg6Oq+7GSphbQJSotbTksuVkthxJuShv52JZLVfeL6lN22R2WAkcn/M75M2tolLdLBO
52OoHlGZAsFyDH+xKSSUBcUgf0+FZYY7BEuo03qTWjBVIiVqdXwK+2y8INlqtnjz/BE/hscqnDLg
xsqqipN3ssNPaAfRUc82w9tA+u9hJ8rHORjgJ+Jp3NVpN12cxnFu6yKqyaCpa2ODgQhZSJm151HU
094r4vFeOG3zHA05upj6XHnzuKl9q77LQaV+gX7OrKSt9Un0TrDXofdKoTbsGMlselfLB0ZWeGWc
Pk3THaD8MEOHMA9iF/szPLJBavSo7ApQteSWmh8726x+H9M8g+jmWxk+VaypK7tAsFfYGPlTHIvY
fRDt3xv+NN8ZjPdjdL+x0/3Oap2B9FSkLnrmTgbWPjc43I7BqPZ1ZLuPpcjeKqIBo3OR1W5wsQvz
czv41c3oUMjFHvfCkfwY8M9zMqVbpFwRypdrMl2c8ys9rDQS3/sSNcDOiRn3Q9BAmf82L+F20tZe
6N6HVlXf8/Q7tn8E4f3Qyd//sbv4D9SI92VctM3/+c+f916+CWYftYPNqlVI+fOSMMSjNFkhda2r
tTwONp2oE0fW8zwRuetr8U83ej+vpAget4XnWOyOTUmp8NPiCx/9BImrKQ8F4LQLfkro5hzMnwGR
Ey1jld2XKDOlvA17r7OPmn1qAMEdfmR+g22CGMZrRBOzTqnvcr1EEBuK7EsNsu21j8im7FMAKSs5
FwFlW66QHIam7dPQk/r9ZKkll7geU32Iu44yE/X659Lph/YJxhDu37kVQKDWhcKv/THTT4AB8EYa
tjAgQza2wyUnkRPjOXdtIjCzqfnKLVN89+a+eLJB9C2s7kWfzDKzAloFxPES0hsZy9lp0mAx7HuY
jaZrdj5AckD9Yanh5uRcjiwrUiR1JNQI78Ij/Hbpha8Bm7/+0H9ePrJ4dJRkUoOf1WQ489OyM6VC
ZtuAOtJh6kunGWOdZrBKVPAfI7Uv43+F38p/cHct/9CP+7LrCxF6SxmATs36+e7yNB1cnfFCCMT5
iCsPawgrGT4fvntLFOkSex0SQKXwDmGz/vVl/v2rs9D1fKwNEmA15qy/Dn0qYxIuYlIMSEllPath
YJpNaA/1Y6YPJQxqhW7QpQkwhpy27dcvLn5iZJP7An3EMgkLFy6pXD9f+5A4RlAGGhKxwJuwIse2
kzduWhNsnDS0zYgfuPheTuW5xXLHgkUX3eJXCd0M3cEo/ljR/nu8+c/Gm3zTuDP+Zz3O27em/Y9/
OOP842/+OeN0EdHADiSX54r7WwaZf844rd8UoGlPKuELsnwsDr2/AQSlCWgCrZbrueh5PLXkav05
43R/Q5Kjlp05h6LlK/9fmXEq7+eTlSQhIoEINyNXCMLYz4l44STp8ZMwOja5251LrwCFXWAuOtvk
DSOnXaZZiNfFI6cpk58wW0HrQme7lD9ppDEFBkHn7nTr6ydCQ5DD25n/GpMZivEWuaF9rahoiepd
d62zxqXkauj+9K5LumCpNiRVmc8Q1VnJ1MHV77MeIhp6PNQgYQvCFxmiTTh2w9wLX+DKgFXrHR2s
fZWQhDi8imtlKINmepnbfgYGkDGq6A1z0y61ZLhUle21wByXWhNhOGXnbAT1o0MQM+OyGTaZhkex
B5HxEAdV0myiMRkOmj7qZh6mAqsi1e281LnJUvGypbV3jCSie9I1FOAgwBsE71IKba1ckQO51M4g
9amGo2HKn8IIUySj0ooSiT9GHy7OvohfwFVhM/aoyj05oY2hcDNqs9yE9CJkK8SyfUqZLdzjprUf
gmuZX15L/nLqFgedZ8wbvwv8lef2BG4ufYKiD8TExVtoN7Q4svQhlRquS99tI0dOq4Og6XCX7kN0
0R1K/b7dEBgks43LmnktnQGjEMEQktWn7vFaY8dceWpuIQe1B38o2hfZsI5bVfEstkZvaZxBE+2R
bgqHz8PpLrNnHVqaKHhvDjQg+ip2eq9BMZknf9Av8NslREGz+NDY004iolTMJy9C/jChMm2dTZaE
4WMjAdFTv5XZDXGp9W12bfP8LI/cVZWXCslCo7DZGsHi0uvfAx1YD1NdJlsnVONlmqtv7bWZLKZZ
bYM6Du9nOrrT6FMzJYo41qUPRVACAlfQVnYFT1lht5/CpsTL1LrpMbo2s8O1sR2vTa4Ow+bDHGqI
WEkvHmjhnfMiZHtKlYRP6RQd1WxTq3Xb57xlQ5XrGyaLH8Mou1ujsvC9D+Y3WeQoNwaYb3gP62O/
dOXZ0p+DexPNJteT985CoXuejYVo1AfZVtXISPD0L62+eW37A1UW2TorhuGDUW9pbkAXx+jDwB2h
gVhmBzOf8tZxCeeNi6Y3H/plypAu84aqZvWxHsWE/ZFxxOCI97nx303dsRq3fVYViL4xKcSVv5bs
q/Ueew/96jLkYDX/TNbgNxMTDgS9ZRTCOs48OJDlvDtQKRUGMY9ZaaSsQ8iZ88i/wNYA0+FtU8dn
RDLDcRQFiMoSbMaI4akZrJvmOpbxAoLUWYFW7/l1bKOXCY42m12yzHTgsrG7X+Y803Xis8x+OoZA
9FgRqenLYMgiIik/dAHwFHqiKTnTohIcEDdM3VdE7jg3jWMHW9fGhBTlgdjWVYtS2cUTIirlvUmd
T86qnc+F6RqHkDCKferRCGCmNnZOADHPN6dhV0giocmvST+NzOM3eVIPZy92d7IA+VIFk6BXwFS3
IrfXeSDUA5etwjKkBmCaXo8OIalzdrAp2uCSmnJPlk+87kUe3gw9gNF1l8zzM1WQc3SYv98wyzHI
B2eokZ07FvmbPGuIOoyhF29Hw853SXVW0/jJos3YlLqxjiO8ta3D/3XOHLO8EZlNNJMjDchzdVlb
Jrtox3aPpDnQHru6frDRwT+jcyMRSQFljxwMruuJPLJ9QE3irv0sTUHJQPSXozucWdGh3tM9Ox8P
wH3fRSOwGF/vLJYnC6LlNpvD6TvKJwwTvevuIieUGQ7HqmNd03wBLwEL0gU3t4rUEq6DUuCI4Dtb
lxRAlzjrPniwqN3QZv2hmOuBbykGwhk3xTAgNMrj9otV8LTZutJtLjIPiE4IxVPooiezDbAeMWvq
tS68ZJ+5kAnp0Q4EC+B/5AG7LaAGwSgz+gPwLfNoTqzgAz+NjmqQIwBTHH2qRUXAE9vbNRW66M4V
/nks3JjhXPYYLNQvtwnd/VD5WHIBoXzv8KgvTnas7XnF2TuIPtug4quPtQ+JDsErQAhztO+1KBfC
rbWAXuR0E1VhfBtDKlunJI+vpzn1N44VixOKwmA3dPUZd3K9xZvffGW0CPLm/3J3Zk1ta1kU/itU
3k1pHh5yqxpjB0OAC0k63H5xCaxryZpsDZalX9/fkS0uMoEMcnWo9qMxR+dsnWmvvfda0RJJX6iD
PuYq6TB1oXmTtLbvLeCbyVyHXN2eF6MiKO+jSCtGklyRgl9w3MAHP7HSbH5WlIDZlM1crUmlI/cK
ZsJIocS2WOs31ElE4xS++3m1uC2kbHBTeos/N9j1fLrRFVZjeEUNfD3eIKXC0ejPdbItYA0e6zUO
twbfQ4yvXeTDlIjNF4RjcbEL7Hq7Kvy5gTZZXhWXMLjPkxEBLDmFlXhDuW0uqRU8r1qZVNKI0tNa
GnlTe1l/ovrLHtyVGeQWpz4Yei0qOgSmH8RmfYIQRhhqIxMfrDqDPeWTDpXAAoLhmqtMBrf81Tog
qkYKG7i/siC6cyKhP+ZWjZCZVNSrayVRBh4abWn9VYVd4muUSJtzU4ihFUIWbVUNShTSInNjDKm5
Wp+TSFKy9YcxNsB9PKuEvJocsWNa6Jc4FXXmp9znFucA1IVKMMOkhLAu/PNI0Pyg2zMyTbscVxRS
z2DNGsBHjsBbVlmrcWmtZBKfhP5bFLO9BisVA0EMuhl70nz+b62awqq0EDVBywCmOztSKaFqNOak
mtz8kphKecLpRvpFQi7vRbosqPTNlXQJK5hSFaTHcHJJYz3jbDuxKs9aDDOTUtc6IHJXZXJMnZ6V
rQuqCQGtQi8YkKko5PGkKVWPJ5Kq2deyPjDyYZLXK38c6Ct7lFh2TTWBWkAAIHT3MoTu0U9eSIsb
y0tXt2jYk/BmG5U/THCZIRCZbsYoJBtndSPrtwo2ayT+qtTE201R/gtt2z6dZqgBRo0wYMjLv6sR
HhxD8fBBhf8EkZtGTRCMCv25wJ8OMyE2iKRxCb2un1HsthlEV1oFuZe4AVGUHxmKNdGEeCE0nKK8
RZqiu1HAyTKG/gmlwyzIJRhY8/yOzbuGXTQzLgjw3lPtA42CqUvQMHPfolo7EAWHNkHvUZkjgn2S
FroyzHNQhaFmeNF1vMoAfY3Ag4VG9y6Xegn3aYlsY1mY+sTwLLQcY9XSb7JG4THT4/CDBpw7snlp
5/BwAd+FsVbNECj0/mNz5/6CWJ95MdU89CN9RGQ/ZhJXs9PpXJ7bl5Gkq0OlMu9yocdVkZtD/hMa
XaFQ61I2ujRJAeFT+GsXxl/qUoPyGEQQPAMKIc4Sxb4MSSN0lcGU+MjKlx32U//cLwcoFaw0NI/W
QVYNgzQyp+MBtNkkTEoQ48xJuCGRO1dvQfXUkW6UEN+jyjsKNCjIQRiLkU6V7EVtrktoXOflbUYh
JSRuJWChTvFmgvC9A/HqZoUCWqKNZR8WqpOlvARvUdb5MBK8P+o0X6FW4RljZS2ZM4UE848E8+sr
a1UvPy1LGZ5c9vMFDFYyNDuxFN7NZQnpRrj67XMyOKbnBGykc/RKVxRy6qsLaTU3btQ6h/iZPLOJ
UiMXM6gFm4CpLUdVbMrc/REp0FGDG0ID4gVszVE8Lg0o/xfhIJ5sJCD3JWTbnxGfVscDKR3ly9Xi
2p9Te7YQkOtCgK9sEutTFiCLxaRAO0Nn6lIlu2PoCeA2EBBu1aC5gQB24U5jrTdgLxVPI3SiVlyg
gIK9BhVGJQaAWEDF6xxZRKPBj5cCSl43qHIpAObGqf2/8f93AxHZR4hyQg95U7hpdetmBbQEbfKP
+GsDZX6G++hXfvR6Q0c/VOFjGipQUgdQaPrUdPi1JkKHLhcz9/071Tq28YPh+ydgLz6gR2FCvvb2
zwOKdBArEOLAZDLxpCfGeWn4r49sa8fXf9Pp+kNSxLmwP5yB8dNaJQWhgx8a/F4LTwZvQ8xJEr2A
gJsPY3w6eNumkkkMnUyB5rN94P/eBs4sIp/ez/LUf8if2kCWJVGx0WsKKMhRiFIqMKPdp2sFSznW
LFMFO0ULQnx+10x40QqE8snY62UE1TwmZRBQTba3g9xfB7KNciHlFoiAbK30m5bDi0aQtSbbsJcV
NO0YnBp+oXaQQItPFwR4HgAjmovIjby18Ssk/m47tY0KPO7QP7Mb2kJ/RdNQKNi+5Gfjh65XhxsE
wYRmmjBLfsum+MossJ6BzD97JgAVy8wANr7dtsfiejoLLPuYKAoJ5yQ0vc21QJKasX01vz4XqFUl
VkN4UN2djHuHg6kfA8tLIA87K22P4jd0OBC/7W8FFStYBm+bMrPm050LxOmPH2t539haUClB6b0j
QLVNSIQY2nbBS5y2nbVgHFN9rIij4fHceFs7gqoZSu9bIvuiQto6AaXtKPesIMvy8WN+/FubBXDY
9N4LzGOtKbckeNZ8qLd8Ogu2q8AAkW6KCJpb9BubBQbB5553JG4HXIVt6iF2p+Pzc8FURVW+/fMX
xR/YNh99r6Hnh7PG6/Ld7FvO2Us/aL2O53/feRyT2ft3wq3o/FCEdbfP/scp+6NzADde0ZM/tl5S
85zdv+8G+PzRnWe1o2q/PPPd1KEIjRxY4WTuunnlRLhu/wqde6er3E0FC6fUPz15/67Tzyfv/zsN
Z4HTtiNsIksaFci920XON4m7DdtCWaF/w4ETZ10JBhA/Vn3flodO6P+dpHs1R1t/o3fbJMqnzixp
eykMvfXo+7ccx+5D7j8UHWcRAJj7bN/GT93QKZ3UbVsS3bYs9QDGbh3co+TvI1Ljiui+W+pFctgB
ZiGFm6k/687CrRfd1zIf3IT6tG7L3ArYdvu2fIbFfb9tp1mRqiHSiPo2PJk5XmcC7rzI3u2GoR8n
ftb2sOkyx+MB5t8knvnO3i4iav3aR30zC+fRK35t35skZfflwfnCQd/XFhfP9yZDVg6wXi7oWfEQ
VG0XGyOLS0j7xa+b4mNC0fkzM9tAQP3bvnT8uLN7CD6gA/T50kmr0IlnbQ+FORSUUQ/wCi+dLHMe
vCJz87wzp5Ho1A5hEv/B8+dOF94kZnyAFX7pcxbAVtaZ2Qoo1gEWzKWfkWyf+XAad4wu68JN6rtu
ROsJ5HptS837lCEQar/49emNWni+t4eQHGnZ/Vu+cu9TZ+/2BLcNKXW97XHlrp3uubWDvPoa+sot
j86caJl5fvdYp32hOnWI9s/dNHOrtq3mVZK+eKDGL92N/9A5xgCABC5+iJ7/RfFK29Ku3wJV6d00
Opne0dBJ0TTqnmbID4gc3sM84NQJ9tc+xfEHuJJce37X4hqzpX+vr4OQG0nXq1EAYA6wyV6n7nw/
gtQAZH0t/acLbybMFs6em0BWknKAft96ycw9mmTPzjbTEHQJfXv/6buq5S9r5P3QtWr7gOcTUYii
H+A++Bnru1nmdq4UO+ivr21eFPbraZIvueO1b07sKTuMrm93XyF07Nnhb2alb+k6+nb6q8O5g6Jq
d2kSXBCoXe/Gv5dS39MuX/3sIYEQp3Nzg0NEYG29+14lRH3nbUPNPDEob26/eOn68y2k6TFw/xx/
agPy3/q3LrgmfvEQuk76x38BAAD//w==</cx:binary>
              </cx:geoCache>
            </cx:geography>
          </cx:layoutPr>
          <cx:valueColors>
            <cx:minColor>
              <a:srgbClr val="B8E2C5"/>
            </cx:minColor>
            <cx:midColor>
              <a:srgbClr val="36864F"/>
            </cx:midColor>
            <cx:maxColor>
              <a:srgbClr val="235733"/>
            </cx:maxColor>
          </cx:valueColors>
          <cx:valueColorPositions count="3"/>
        </cx:series>
      </cx:plotAreaRegion>
    </cx:plotArea>
  </cx:chart>
  <cx:spPr>
    <a:noFill/>
    <a:ln>
      <a:noFill/>
    </a:ln>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plotArea>
      <cx:plotAreaRegion>
        <cx:plotSurface>
          <cx:spPr>
            <a:ln>
              <a:noFill/>
            </a:ln>
          </cx:spPr>
        </cx:plotSurface>
        <cx:series layoutId="funnel" uniqueId="{889719A0-F434-460A-B1AC-CAE625D086A7}">
          <cx:spPr>
            <a:solidFill>
              <a:schemeClr val="accent1">
                <a:lumMod val="50000"/>
              </a:schemeClr>
            </a:solidFill>
          </cx:spPr>
          <cx:dataPt idx="0">
            <cx:spPr>
              <a:solidFill>
                <a:srgbClr val="235733"/>
              </a:solidFill>
            </cx:spPr>
          </cx:dataPt>
          <cx:dataPt idx="1">
            <cx:spPr>
              <a:solidFill>
                <a:srgbClr val="2D7142"/>
              </a:solidFill>
            </cx:spPr>
          </cx:dataPt>
          <cx:dataPt idx="2">
            <cx:spPr>
              <a:solidFill>
                <a:srgbClr val="46B067"/>
              </a:solidFill>
            </cx:spPr>
          </cx:dataPt>
          <cx:dataPt idx="3">
            <cx:spPr>
              <a:solidFill>
                <a:srgbClr val="76C88F"/>
              </a:solidFill>
            </cx:spPr>
          </cx:dataPt>
          <cx:dataPt idx="4">
            <cx:spPr>
              <a:solidFill>
                <a:srgbClr val="9AD6AD"/>
              </a:solidFill>
            </cx:spPr>
          </cx:dataPt>
          <cx:dataPt idx="5">
            <cx:spPr>
              <a:solidFill>
                <a:srgbClr val="B8E2C5"/>
              </a:solidFill>
            </cx:spPr>
          </cx:dataPt>
          <cx:dataLabels>
            <cx:visibility seriesName="0" categoryName="0" value="1"/>
          </cx:dataLabels>
          <cx:dataId val="0"/>
        </cx:series>
      </cx:plotAreaRegion>
      <cx:axis id="0">
        <cx:catScaling gapWidth="0.0599999987"/>
        <cx:tickLabels/>
        <cx:spPr>
          <a:ln>
            <a:noFill/>
          </a:ln>
        </cx:spPr>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chartData>
  <cx:chart>
    <cx:title pos="t" align="ctr" overlay="0">
      <cx:tx>
        <cx:txData>
          <cx:v>Product Category Performance</cx:v>
        </cx:txData>
      </cx:tx>
      <cx:txPr>
        <a:bodyPr spcFirstLastPara="1" vertOverflow="ellipsis" horzOverflow="overflow" wrap="square" lIns="0" tIns="0" rIns="0" bIns="0" anchor="ctr" anchorCtr="1"/>
        <a:lstStyle/>
        <a:p>
          <a:pPr algn="ctr" rtl="0">
            <a:defRPr>
              <a:solidFill>
                <a:srgbClr val="235733"/>
              </a:solidFill>
            </a:defRPr>
          </a:pPr>
          <a:r>
            <a:rPr lang="en-US" sz="1400" b="1" i="0" u="none" strike="noStrike" baseline="0">
              <a:solidFill>
                <a:srgbClr val="235733"/>
              </a:solidFill>
              <a:latin typeface="Calibri" panose="020F0502020204030204"/>
            </a:rPr>
            <a:t>Product Category Performance</a:t>
          </a:r>
        </a:p>
      </cx:txPr>
    </cx:title>
    <cx:plotArea>
      <cx:plotAreaRegion>
        <cx:series layoutId="treemap" uniqueId="{A2965A7B-7B5D-4E15-AE9D-99757990FDDE}">
          <cx:tx>
            <cx:txData>
              <cx:f>_xlchart.v1.17</cx:f>
              <cx:v>Sum of Revenue</cx:v>
            </cx:txData>
          </cx:tx>
          <cx:dataPt idx="0">
            <cx:spPr>
              <a:solidFill>
                <a:srgbClr val="235733"/>
              </a:solidFill>
            </cx:spPr>
          </cx:dataPt>
          <cx:dataPt idx="1">
            <cx:spPr>
              <a:solidFill>
                <a:srgbClr val="2D7142"/>
              </a:solidFill>
            </cx:spPr>
          </cx:dataPt>
          <cx:dataPt idx="2">
            <cx:spPr>
              <a:solidFill>
                <a:srgbClr val="36864F"/>
              </a:solidFill>
            </cx:spPr>
          </cx:dataPt>
          <cx:dataPt idx="3">
            <cx:spPr>
              <a:solidFill>
                <a:srgbClr val="46B067"/>
              </a:solidFill>
            </cx:spPr>
          </cx:dataPt>
          <cx:dataPt idx="4">
            <cx:spPr>
              <a:solidFill>
                <a:srgbClr val="B8E2C5"/>
              </a:solidFill>
            </cx:spPr>
          </cx:dataPt>
          <cx:dataPt idx="5">
            <cx:spPr>
              <a:solidFill>
                <a:srgbClr val="7CCA94"/>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_xlchart.v2.19</cx:f>
      </cx:strDim>
      <cx:numDim type="val">
        <cx:f>_xlchart.v2.20</cx:f>
      </cx:numDim>
    </cx:data>
  </cx:chartData>
  <cx:chart>
    <cx:title pos="t" align="ctr" overlay="0"/>
    <cx:plotArea>
      <cx:plotAreaRegion>
        <cx:series layoutId="funnel" uniqueId="{889719A0-F434-460A-B1AC-CAE625D086A7}">
          <cx:dataPt idx="0">
            <cx:spPr>
              <a:solidFill>
                <a:srgbClr val="235733"/>
              </a:solidFill>
            </cx:spPr>
          </cx:dataPt>
          <cx:dataPt idx="1">
            <cx:spPr>
              <a:solidFill>
                <a:srgbClr val="2D7142"/>
              </a:solidFill>
            </cx:spPr>
          </cx:dataPt>
          <cx:dataPt idx="2">
            <cx:spPr>
              <a:solidFill>
                <a:srgbClr val="36864F"/>
              </a:solidFill>
            </cx:spPr>
          </cx:dataPt>
          <cx:dataPt idx="3">
            <cx:spPr>
              <a:solidFill>
                <a:srgbClr val="46B067"/>
              </a:solidFill>
            </cx:spPr>
          </cx:dataPt>
          <cx:dataPt idx="4">
            <cx:spPr>
              <a:solidFill>
                <a:srgbClr val="76C88F"/>
              </a:solidFill>
            </cx:spPr>
          </cx:dataPt>
          <cx:dataPt idx="5">
            <cx:spPr>
              <a:solidFill>
                <a:srgbClr val="B8E2C5"/>
              </a:solidFill>
            </cx:spPr>
          </cx:dataPt>
          <cx:dataLabels>
            <cx:visibility seriesName="0" categoryName="0" value="1"/>
          </cx:dataLabels>
          <cx:dataId val="0"/>
        </cx:series>
      </cx:plotAreaRegion>
      <cx:axis id="0">
        <cx:catScaling gapWidth="0.0599999987"/>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_xlchart.v5.22</cx:f>
        <cx:nf>_xlchart.v5.21</cx:nf>
      </cx:strDim>
      <cx:numDim type="colorVal">
        <cx:f>_xlchart.v5.24</cx:f>
        <cx:nf>_xlchart.v5.23</cx:nf>
      </cx:numDim>
    </cx:data>
  </cx:chartData>
  <cx:chart>
    <cx:title pos="t" align="ctr" overlay="0">
      <cx:tx>
        <cx:txData>
          <cx:v>States Performance By Revenue Generated</cx:v>
        </cx:txData>
      </cx:tx>
      <cx:txPr>
        <a:bodyPr spcFirstLastPara="1" vertOverflow="ellipsis" horzOverflow="overflow" wrap="square" lIns="0" tIns="0" rIns="0" bIns="0" anchor="ctr" anchorCtr="1"/>
        <a:lstStyle/>
        <a:p>
          <a:pPr algn="ctr" rtl="0">
            <a:defRPr>
              <a:solidFill>
                <a:srgbClr val="235733"/>
              </a:solidFill>
            </a:defRPr>
          </a:pPr>
          <a:r>
            <a:rPr lang="en-US" sz="1400" b="1" i="0" u="none" strike="noStrike" baseline="0">
              <a:solidFill>
                <a:srgbClr val="235733"/>
              </a:solidFill>
              <a:latin typeface="Calibri" panose="020F0502020204030204"/>
            </a:rPr>
            <a:t>States Performance By Revenue Generated</a:t>
          </a:r>
        </a:p>
      </cx:txPr>
    </cx:title>
    <cx:plotArea>
      <cx:plotAreaRegion>
        <cx:series layoutId="regionMap" uniqueId="{CF7A4EA6-D313-4619-A401-2503976E80D5}">
          <cx:tx>
            <cx:txData>
              <cx:f>_xlchart.v5.23</cx:f>
              <cx:v>Sum of Revenue</cx:v>
            </cx:txData>
          </cx:tx>
          <cx:spPr>
            <a:noFill/>
            <a:ln>
              <a:solidFill>
                <a:schemeClr val="tx1">
                  <a:lumMod val="95000"/>
                  <a:lumOff val="5000"/>
                </a:schemeClr>
              </a:solidFill>
            </a:ln>
          </cx:spPr>
          <cx:dataLabels>
            <cx:visibility seriesName="0" categoryName="0" value="1"/>
          </cx:dataLabels>
          <cx:dataId val="0"/>
          <cx:layoutPr>
            <cx:regionLabelLayout val="showAll"/>
            <cx:geography cultureLanguage="en-US" cultureRegion="NG" attribution="Powered by Bing">
              <cx:geoCache provider="{E9337A44-BEBE-4D9F-B70C-5C5E7DAFC167}">
                <cx:binary>1Htpb9xIsu1fafjzpTr3ZA6mB3hkVWmzZVuy3W1/IWRLzZ1JJnf++neoktxS2SNfDwYXaKPRBRWX
zIzlRMSJqH9+mf7xpbi9dr9MZVG1//gy/fYi6br6H7/+2n5Jbsvr9qhMvzjb2j+7oy+2/NX++Wf6
5fbXG3c9plX8KyNU/PoluXbd7fTiX//E2+Jb+9J+ue5SW73tb918edv2Rdc+c+27l365vinTapO2
nUu/dPS3F+H/e/HLbdWl3fxurm9/e/Hk+otffj18yzcr/lJgU11/g2e5PmJSKGWoIXf/6ItfClvF
95c9Ss2RopppKqi5+/ew9sV1iefD6yL907oqvX74/nt7utvR9c2Nu21bHOfu8+mzT86wP+IX21fd
KrUYAvztxfsq7W5vfrnqrrvb9sUvaWvD/Q2hXQ/y/uru5L8+lfu//nnwBWRx8M0j1RwK7keXvtHM
xYfnpPCTmjFHXCohJCd7wfuHmlFHSkrua99/0NzeKvaaubgdrm/+A608PHegkfVof0ON/H7639OI
EEeKGyO5uteIeaoR3xxpzoyUhu99iT+svdfI72n7xVZtWj18/b93lUePHuhlPeDfUC/h6+eE8JOe
4h8Z40tJBPs+hhF5JIX2uTpQSGgL665v7HNb+TfQ9fXJA3Ws5/obquN085wMfk4dcBPuG6LZQ8T4
BrjgR/AR7RP5sOreQU5vrpP/QBn3jx1oYj3S31ATu5cPMvkeOvycJph/JAFHVN2HbnMIWOxI+JoL
5n8fsHZwj/Q/iSFfHzzQyXq4v6FOfv8vJlxCHwlKudS+3od1/TSIUEaOJOK+TwT9Xlj//bpNkG52
9j+JIo+ePdDMesS/oWYuPv73vEWwI8MNE5zfhxFEi8epsJZHClekomKvOfWw9kPCNf7y0br84dvv
+e/3o8nF7cOTB1pZj/c31MrpfxHDBDmiiCQI3vdSP8Qwc0SFr7j05V4ruP44DT4tirSyafvw7f9e
K389eaCV9Xh/Q628vnxOBj8XWQSHr/gKcldfpf7YV/Yo5lOCvOth1b2XvHa38X+CXQ/PHehiPdTf
UBfvLh6k8j17/DldcHnkC2YMua8DCXuKW7464oKztYr/mh4/9pB3t1WFuvz29rktfR+4Hj16oJf1
gH9Dvbx/95wQflIvKOAZ11oxuZf7gV4opUdK+4wxdRBJ3nfXyXP7+L4y9k8d6GE90N9AD89vcW+t
e095cufPkl3mSBKkXoLrvUYOIrwxR2SNNNzcxxrxoIU9dh1QUP9+W/9GQU8ZrCcn+T/it/499/WV
JNxcd9fbO3bxEf31/NW744LtPHj0OZJyL7vTm99eMA6VPFLk+pInEfyBkPrmkdvrtvvtBShKcUS4
EBwICB5TEHjTeLu/xMiLXyrruuS3F0jvCNF3/igkpZoiUWhtv14Cgq55HWg0ACnzUTB9JXDf2GJG
vPp6/vu/f6n68o1Nq6797QVlMKN6f996IEkAtavbM8O5UUxLbKj+cn2JtH29/X+STkxD5Wr+Sket
/jCPQp7OnHoukEtBNnNSNs1mqu0Z6raGBpY2w5YscbsdlV8c96xtXsqI9OwPmSz5hdWFS86baeAi
ZHUzyU3vxPyBD2L4o8tLt+nieQmSemZTaAZ/iIO6y7rNpJJqOO7HmV72vLUfqyEaXi/ORFPoe9XY
B/ni9BI0kRt3aSnyE+2yMuxdPvSBrufuWBlsMaiTbMrDOLYi23gzn96IedZql0z+GJ8YQZd+M+UZ
+Zz1RTsHxZznN432mtdpLIcyGMdyeh1Fto2DJo5w9rIu5zzIpjTXp3Z2YtkttJ/q43ZmuMpbWbOz
3o/nN00im/k09iqZbcpynrwzHxu05yJavDKwTVnyt8yv7VsjsvhyyfLhdVOMQZ3potuMSenHYdTa
4TgbnT4pTVE1YSbsEp+kUze9cX6fVxtPuKmrX/Gcve/qutNLvRkjYrvmJKIy7Y/LiMVcH/uyyuOd
dilZyGbKSleRMK/86YLrpaxo2M2Ddypaavs8qOMmUWGG8q6q8m3qF14x/d7WhWj55ZBXeeC4onXg
yzQapou8GYSJtmWROhPUNnblrvZrPw56BHQVh9JLsuh1RGdvN0SWtmMo244zCLMfdPeyJd6QbOKG
KG1PSDvS6Jy5pIg2jWiH1XD0crJMmVx23pSNeZCXaiyGs67r+5pc0LnMOu4C17bDuJRBPrKxpX/E
UcLY8nFKi7lyN93YdGUZyHxZiujtYwb+ieN8sfXs0ji5b358/fNf72yJ/+4o+b++XHsnf/316qHp
8uxdx7d2xej28KYV8L6+6y/yfwWZr52AA9jat2n+DaY9e/EJ4D2B94c4cgd4AmHla5PmG7j7bpD5
+tw95il1ZDTnCjQCMvDHmIcs70hSBiw0XKKz44N9u0dATdFREBrxjfmUAXPv4Y+CP+VMgiSi6PMY
NHt+Bv74U/RbV0T2bxTlTCsUCQwbeIx+Bc1cRcdc3vo06nqzZbWovSIk9ZAuH6Ts6/xaeE62u6qZ
21lsOjbJZAo9G5HPceVE5YWWTbk+M4mc+01uvKo5GU1ZtK8KWdbeHNh8kvVnmXfZZDeeUkXGw1hr
QW/1ZOf+skgmXVz7vqyjL7zkjbqIVdrUPChp2mIropaufJ1Q0o3VJi6ky+vAjrIsX1I9N9hyXJZ0
Pmclr7I/vXaweOaRSr8TI1AEPYoQQhkCosGA5jFr640RWMRjGWlapn2iEv82Gm2VNSddKQpxUoih
BVwtbdylY7ikNXpvBYlSFu2eX54i9Xy6vkYk5OA6fEQois08XX/JuN8qotKbjOY8T8POcsmTwBjm
NdnOTWPsuo1LulgkgSe8pa7ejILPLQupWNTIzzqElzYPrG24oxdG+g2uPb9JRp9u0hfS9xkMU0nh
c0rJgSE1vCoXm1Xsvd8lvKl3XR3XbXrcebzvooADcZYPKHlmQndRMnlRF6IImpsmcHXj8msvoVAi
neT6lW3yNr8uTKbFSToWE75q5tGqi6iZcFea8BavmeNStbvc044Did3A23Aeq9rOmx8c7UD/OJqh
4F0poyDBBQiMp/Lvppzqorfzex4POaC5c40aLpdiSe2Xjvg5q4K5s83yQbPKG/Kg9Cwt3cmkyiKe
t0upaBfvDPf68T38wkEco844rc74sMBmq9Qz03AsxqLGpbZPFU7N6hE66kyZYMG0iwj+godRiKKM
BUTRdTrxulAWfbaMQWJYhr/28onTyebXzwsBgPPYBn2hwLQJzaQP0CEAi6cyoOMi1Kwa791Qaqub
nV1SXVywxJ+GPASuJHH1I4taX/lXYibWJQWXhBFAIFHi0O1IZiOh6km/a3sKC+nmroNBNUsH+Yis
FlZuo9GzUxuogs8QeDFEVX5dCkEgpdFNRfdGq9aPsl3UCX+47JRiw6UDNZJfT6Un8c1UteriXm1x
M1YQ5VT4FdBnacmqjjifVkV4WUrxYebMDJfElhY7kXkOm85Vt6LU89IWhn9zeK3QTGYMCTPa+vrA
57n0Wi8m0/wuSWZVREHX57wOo5FE2YVii3Dztkmcqv3AILXNksC5Jm3OSNHzSQZ1mTTeuYtLT7yK
ykTzsBntFH8haUFOxqgXapPryhY3IisWd1laVWJwYqHF+FoMlEzLxs8qI+uwEVy0/W4cpT9cuCaJ
JhuokpT0JSeOmk1VOUPDbOp6FwV28pslC5DKOjGF8ZQPcIZhceNcBJMnM5HtDKO9uFJFN4s4JBPt
x/64NmNCo62do7g77RJNIE69FOOyANRgivXplM9RHzRtnandYHTMN7L0puXdqCxLP/SiiKMNFx2j
4Qw62M6BirvWbEzKRqTDsohPNOPdprFkXM4jUxFyTEeasF3stX5CtnVuS/F+lkOce++NJdP0Dokn
7155bVd5l0REur+RTin3ftFDXCHTtpYm7VszLUV+HKWIbbvFCr+0gcktZ0mo3dI2/mdaZn51k7Da
DtMGpjI3t6bvxhFJaYEELjvpoqqR/qbPiSzUcVR6ubowVHt5fjyomrVFcpv4Fe8g5Yly34lXC7cD
THqhrq2Tt2h/d4psq0rUtT7tTZQmxctKTnkTb7Mh7sbh5SijOE13kSjHXl5GFePNqcpEEvs72Iri
SISHhRgXFq2fjiaIPaGabpNEbsnm0zFuvSQ9HtNyUjbMzSgAsEOd9vIP6/VKtqcwjtGLwpGXLaJL
XyN9NUE3c39SrwumNT66/Zdemha4RgwXWG6xrWg+L31j2HCWKVfH7IROnqd1OGcy7/XxVGW0LAIp
Bm8eAyK9FMeJuURQuZ6iGZ3/MJOJkfHreazHWr/JIi8bi53Oucfq07yfjT+8VhmXqQkaY2IAl3ad
TPIPOo4ibzkXomghKW9uANmvgNooZc49HjldvKRpk9LiTZaNmR9txwxAEG9tSjn2Dshat4RioiBs
S+JkTpsNqfPM+ZuqI56s/mAxq7BemRXGvO9jv2lCp7SGZJnfp4ggIVXJ+hLsn7siaBozEbYRSYvT
h3VCK652WTKuEuNFl+PDtknnXVWlXiFfDF3s69CMnYUBLBWYq+POuBL31fujJp1cIL4mQwGsEUva
CKsVCR3wDpqu6qG1SJj8nRbTKudKmAyZhNd7DqrwqtxPxG3T+EY1O5emPl4y+nTWTZj6iew9aFD0
Tf+hy6o+rSAvL1nscdIvgk6v/EyvW06h6Xq5UrAsrMBxqfkcedNqYMp5q+bl7OG7wpSraIaB4laE
WL8ZsYcBAxo44/15nOO8+Yx0K8F3EgWvusqliAwPxWhmvL7WCYUs7q0nWlqDV+rMWw8XdfOdMHpY
jQtZq3Mox8hFrn+hls1fcZI67+pe1N7+9gch7+9T2czyV5rVJTZAKy8ZPuepqlN3nFZ8xqEbtmBe
LYgZj1NyxYmKrQnkXlF2GTqYWtvNvYtPK2rmSAY0T4ZZvTZlbyGlgZUFbmE1BsBciJohGkyQkzmG
uuNSMnxZ6Jg0n81egraGBwHX9mdKWNrPTVjbSo30ZO79BI+RvWr35qGivIB8lEjxxFbqYj38pOYE
ooipW5dJRKLw5WwbopP3i5eKvjvDSfkq3r0hLf3cY5c45PoWmroWz4HI47CutkvWre8F6i3jgj9s
wa3QW4+gNM9OFyY1OISYSIanx7S38GmTxTDKuh2h33TQrPlMVVzBfFrpl+vh3RDBXFtUMusL2bB+
iCH28VFUZHWHcpHr/qtexcn4vi/iIk53VezjvUnDacxP8nbWtDvne1tJs9Z0+vhe5CYbHLYzpTzH
SxABLBbP6jRHnB9osyjyHplb5g+buvG6Kg1JG0dYXGYJ5u02XVFH3WkxNg0nAdSU9Kfaxqs794iv
+C6fe5X5uxzJ4jSfcdMWkz3phCVlGRZGFOUQRG3sdafU0B73J13T4gNJoywuyqbH/+dy1OqTJCOV
XtCgkisuhryLUAiMLsPqNInt8EFV0eSV22heVtsfDaA82028YUAYH3xD72+LEiG23E5eFZn2VBqE
qukjUVMGvIkLa/P85L6YyLoicdmuT4rK1l9m0aIde1JnCcRxzO98prF+AYG10ZhHywee+Hbs3jd8
TEZ10u2PPpm4hYh4PS05TpTHYyu3aiEUKNc5sYqPTvVqNUSZ1cRRhkIQfpuPkADt2XreLk0ZPhwM
HPc3KQaMvCAtFqU+GcHyygQuSWdVvuI1dbhDzXT170H2LeyK+JI1wUJl4aJdXzUuYqdx1Cx4xzKN
yLWCCExz6Z00UuRmPo5oLtUnMFm5rcKuKIpZnpe5Wv2pE2OKEizO/Q5QyVU0I+a1M5Am26H6X4XX
p6APyy3r/RyVWFZUMR53c4FTfhyRnkXe2Ri1zqUXhmdrzWZ7hLtXOo+46t6KuSnnaDtFmTcnOzXW
smg3lfWoEoGmka8+iZhTHAfB0ED5iycWnEpV5Ro2Shmt5uaYozC+vSSzDqzkBU9JyoezcZFlpN/m
Sz96Vw7JdCu2S90Y9Ql4C/vyxnqBBDJB1jNEdeUB/JfSrQIsUuSryKxNacf6kzJz0tDPYipUcaFU
U8/RTjDbdt6fY0qzKdoiovFCBm3B88YL/YJq98H4Ysy7dyRushisn5x5Ml2OGrlNc2OGdGjYxzby
W0eOXd4PpQk9trT5h0X0TNigR3SYhqCj1CKn1Fqanvaw8jIzLBzwpaeHQI/gJabN/Un2umzqbIF4
MKE5r8e6g5uiGFb8M3O8ogmy/9V507Zc76juypsoY+t3khIPd8zxvN4Y8V7ijqGvuvX+IqrhyjGy
xehi6WZabzM46uqVplyv3JssckogkZEo9ZOgRR6gPq1w6sWhm2bHdUCZI/6bPtHxaIORVAKKnpfI
sNOxqVYvj71FQPotWAJ8CKRl3WmzENi3IB4UTKA37CtPwTN9ul9IOoOQ1sBUvKt9xVal2aJB6lZ1
L97me8DKi359c4MOMazBKxpv3aNTTohNGZeNjYKkUb131aeyxpm7ERzOcJayeE3jEjFhDT0U67b6
O4fzbI44EkSyX528ZivJtKnGabVJHS0sTwOZtFVZbpOsgDfu9gJhSq+gl6ORjfeCpPWy84TxQvvb
58urg4Le+Bz4AAtmADdFlToo6JNOITnNa3aVWKuwax3HE7xhtIDZBkQzNlEM+epdQ9qse39++ZUv
elTYrssrJZQk+3EvdcAnuX6y3thqdXUPjRngaZW/9OFJzy+FNsnTpQRB9wxrYTIZ/1drWf+ouTH6
eeNHSCUfbITkk7VhU0dCvNZGr9ZtVLIqtU8zaNgKJ6Cye3B8fi9PKQS0VWE/PsUMtAIZCjs/KGmj
gbO5g+tdGY0ZkU+ppGs+3rYYetsuFqnzj+T87YJotIM4UL5h6OuaA84iTxyhRUmiy2aqECjiHBH/
VM85fO/es58/IEW/6pG01xNyoYnUlPmMErD+T6U9FZmIq65Ql/eIMSaLDyOaFZ+l3E2i9YddVkeL
e9uPfEavpK9WPOcO0OC1i0Ag+sGOnlo6doRSyjcIXtpITKf7644f6X82xBv1zJvLYu9UI/I6+PjU
5xFwPfWHFCpIRD/DMw1HcEBq4SXrRrKaN/0SDg0q+50suZUkmAAtcwiob3A7/COiF+mMtnoTjq5b
vabew+zzhzjggTThHIcAO73Ocn1LhUxJ6rHEce9GeW7AwvGiV8MpfLECcOVA63zKJUEK9Py6T2UH
RWJZA8qLgYOCzx5SMHU/W2097t/EqC1aFQykLto/EhGxKg7GLO3T11WEH6V0QZJYVF8/0N2B62J5
uAHIRmagN/YN44aWXOqRKeE3AHc4aihHouT1PqTvsTz1qKXoiDVzf5W3hCxA7SQtIJTnBfHUj1aL
ZuiBScCPRJ9UHjpup1KSzXkVfYnMUkl3bJu6jOatF5UtUoXZd2ui+/yS3x4ev5RYMdInhqDDf2C3
iU6iIpuJuxFqRANhN1O10Hwn3djDfFMfzOAn10PqCIh3wdSSeXBmO6SW1OMPDIEekHEQgIE33/UA
MCzND70oNsgdTN15n5PUaaSJU5eseVs52QQ/fOnHTCwiTEv0RetgMmDJm0CmJOmvyholY1h51FVX
oHLRjdw00jp2WQ5p1X5+XmZr1HoUVjQGVQm4TfTLNdpDGMF76uv9GPmONMv0edo7IwGpBGGRfYY7
Ob6WWCxfMb/qRrt+pHXc/6ywKFUa1C2SdR/kILomT7fhNwwlbqvs56qQHtpDGRojSJyHmXTIg3kk
0VJqY/Sur8tMVuD6XF06Kk98L1vJ8yZBI2dtKs1rul2lSzGcCwRrW/6AY11HCA7kBSFpJBU+g4a/
yQImjmaBqRb+uY2YQuaUdej99m+QE6d1FY7N3GBzni4HXLPIysF7+fkye1djXUenrXFFFoflspD5
HHRrBbK4MkShsdFLUJiXqjTxUqIUNhOYY+ZlMxh/JGnoMod5GiH1+oGb0oMWDI5CwcUYRSh+i4RZ
8oPwA8usmqEa6k9aWrkmXvu6J4p6g3yKLnrN66J5j577nK+/q7Vq1BW4NI0dR1RAbPqxQ4tDFGeg
xAwciWICYwWSA7PIp7wto8TWn2pUaq7Z8jb3xStGEz6f8xZ1XROYaCiWD2UyYWoh6BM3NkkIwB/V
ZdwskXfiSpEtH5zXg7P30SWBmUxiKAtznPdyVY9tuYEJzYMGt1+7LF8+LIVaWzYENRy0kEL6UJCt
zNpW2Tel/HKaoDsuM2QnQbuQuPM3tWx5u1O6X3WXT2tHZdPcLW/8eCXtfHvXpbfoS2LnqYcKrQi7
WpZoLbSqQgPMDI4OV4LbpXvpXB65oChKx8rQi6NyOokF+nYfK7+KxIeBDGu1pf0Y7aChQbHNf2Ab
hxAO6WuiNRIBsfYVMDPzJA/g0VzF1NTFp4WCpY2DiRFdt8FoM1uc8r4ZARQ/h0ZMA4vQMVsb3ojd
hyuigmuTseTjR770qzGOvVjh7554U0ODCjvK+AKsHFnftfErDWCBnT6/jbVT/sTLuUZXB1M9TDLC
0Jo8OPnCh77xjCo/lKIqOx50FuXbrW2SBmiU5G1Fty7SNn0ztP5KINWJtCC3/I4NNgDliSGMoGNx
c16g9r6awNT6c4DxDXQAO98jadjIZbLnMCKSBBlaBWkdiEjR1dkTAju0Q4Ls4jTK8m71/AGZ+muM
GWJsJ+C54+j8PX/iQ1zzOQLUOqbI7n5EhXGDp7rOVZRUY9Pq9yhRCfrj0jk2n7NhWe1WIMkSJwkd
16bqhBwOH3F31zT3VL0OnvA+G1l0Bb5tNWnWpKj+T9Ka8RUiG7TF6K4phrW3u0gQJPMmGsu1XU9n
UHUfnKYN3Oj5Iz3VoQRqIIvnRALWMIfpHzYfwbw0HZu84SJp8xXDljsqrG5l1b+dPb8XmAH/OsPx
Zh8zHw+FfW89SZD4rP+UUgcS1BP4KOaT/uKe+JjipMkCYlFbW4zgpPFPNVclgV9SzAOjNMJPewSY
nKca42MEcxnS7GJPTIAmXfNxnReojKq2WSmD5w+4vvCvVAEdeoMYIVCDYR5FoKd9UACP8zKlbpGY
I6s8l8tQl6Xmn5RDyfSjIuzbpaA6H7EJ03poMxyeDWNZ5dzHKj7ZZ66DRH8MlQRryh/mqQcBEG/H
hIZBxrz+QMqodTLwCcpVpEuibKrNF5JhUOG+sGIqX8lCx8u1oTD6Q1WGpBSO6UC7An2AoFgIbcOO
V5N+n40EZfDz0r4fEXkkcFQQEIHB4M5dVo9Z/Kc7IwSgrtOkPXYLI0m7ZXJaS5kev5Ls7Z/tUiEb
DjF5h66/CcpoQR8j6GTc0fIcPBJGg+LQ5jV6ki+ZQFeMvCkjiTm/kxmslbQXEWb06DSHEUO8+tg2
TQmC3mVMVA0G1vqFdSGxRLXlxncSTeCXfKKWqzdmnwzkCjQ5fx1VJW2mV3mcDAajPP2gUopuXYYR
khNQ4DotN4WX1TCRe+pMe3gswajauJoouGMfaK7uCuw9CZ7fSRMTfgwRAE2LlaAaB+Yhh7bMB4Nd
sR7iBvmnen3B22KlGb0961Yjs4LeSO3TJQ3ytivpElStM1W6UbUusj54aMY1IHSS4J5iu+P2EJZH
yHdp/JVe0s2AnidY71yxbe1bLFnm4LuHMwKoS+OwmMoWgIZJkyIr3nMQsoZfqLkzoj7NFPHWNlU7
OOQC875DYMa55c0myfsSAwHoDWrMvwRZ0vk2Cr3exiMpg4Zjqom9MY2p9biNGyVk807OZljsO0zC
rOEQ7CRh6sJ2LcZb3qU15iDiDewctcgucQ2lWVhS0KF/zmiKtP6ZVNPIPlE5zZ1/gYZuVL+tjMly
ts2q1iPo0QDQpi7EkC0S8W1lZ+h2M05scXNAPPTMhhCkIZV+OIs5Gl/mpu3aJUAuO6bo8xjfIalK
E9IeC1J042dFynxONpEAFVwFpa5K90eFnqDXB/4+Xt9jZINkOlYv/RKMQrarkkKxHvzuHQOIkYyV
wZyrbk0z96ZR3PGUlS5yNBOcQTldB4MjqqRA2NhqbIPlOQvG3BvMO1Q01r+qK+MVuzKVsQySOB6v
5Jxi5HROx+g4FQM/SQlfTks3DSfosdlL7RQLJyOTC512BcE0w+DeRTDqExFL2wbwvuRz5urij5ik
djMZGqFLUvDuGG0YNDtZJc/9mnyyOdyxGmv1Uo1pvdEiSaBd4rldpiexzWzav16yoiNb1vBu68+E
F7BYVX5J6v6KUVGfO+HF5+XQdlvZYjgCVWx8MtjebBIz+m91nTQoCur0Jm2baFMkdRzMoqo2MjLN
mb+wcjdHFVLIqpYCr/bnKhRZpXcjXnnqo1Pw2U22P0bRFN00Ji+O84kWSzCbTO6SjNirWmBqJCjQ
PGwDj9v4/Tgt/nWBkV00mfry3eizdEtYR84EMUkaWM/jLwUayDvXtfhFSqajt2hrpyA7Om5uKIaQ
wLTTml4OLEvSXT1X3pa2ZXfZDgKtMEDBpp2n/oy3DkPEshz9MNImSvw/0oGZ+RTlS/+lZSKjW9vX
HQj4tEzmYMBvx279Tupy40WeOysNapmNoF32FkPVORj80p5jsJY2YeQn9ppkbf1y0oKct4quFhrJ
NQGLh/FsAtH6iuh8OMVchneW5jxhGx/od0PHkVfBsvg0QUOn9j6OdTPeNp43hSyly3XbZpahHKkx
1rgsLSw3KeoiAN3i+k29jPl0pvq4iQNC6/RippjonUH2h8PIC36GX4sW9ZmbGrdjdc/OZVFOAWYQ
Pshx/kL6KLoQFO4ztH23QdObpEE8lYPeyNnyrdBddVEnwn2c6wlsIUFuHLdBn6OAykONSe068Hou
rpHW2oCzojq2KPADRsru7USr/G2bzF0e5l0Xv2+SufnDTXXJgmbqpzCirs6CDPtDuuajGwzHm5Il
FBgQf2NYmxRhtQzZdVbWS4Dxo/IDfqzXgNUb6Fvz/9k7s+XKcXNZPxFPcAAH3HJYk2appJLqBlEj
QYADCBIgwKc/ubrbx93tvbfDtyf2jR1ht7qkJRL4/8wvs4C3nFWsC2DnIbuQbiRflyJzt2KPtAUQ
Qwz+ULaWzAQzvBLT3mZFMHVlH0n6VQcYtuoCyqEoU7HMj9mWyQMO+iyraLfnpzWa+COWfCyGG9ev
8TSqozUuOgpls686Ya8bHJzXfR724jgr4ksxD+1Pjw/kyNfcmAYCpX9ZNU1ZqckMllC2axlya88Z
leo4QyGNyjZf6CsdV/otcSr5JDSbvtnd7j8NHvDa5lN8R7CVHEPcFPXs5vUFymdQpttobwO9yC97
OI3HpI8YZB2ADvfchwR3mcOJFIqugFOZyuyUYw+o1DKKo0yNfoUwlOD7t/ElCsfkILJk+YBjPD/S
ketT5Hv6Mgx6v2kXMTcux5ELg2bo7kcSrhdtyPY4Lkx/0kVBvifS4nCIZ2/viR/w8sBtfYiS1dw4
nW/nbnPJBEexGI8sG0gN4wbkJww5et4DzW4Z4/ppjwv+WsDU+5j3Yv2EC7894WXL7/YoWCGAZN2h
pyy9BXsZJdUKIr8udj8meN71eNjbYHqUgEMeWzepucJaGR70JuYPtRrSwvbZ91tNibmByiHhWw3T
pzbZ6YAze3BNksviFIFGq6zayQMyEAmYER38CFgMAevWp2TvaOUHhxm8zg1gi+JWpgkg+iZEordf
y54qdrsFqn2E/9ffB8SPb/2qv+JrWiAIXfS2DJhghMnFvaMC2m2qou5CJxV/MQEzW9XzLbyDTmBe
u9ja+cjjHokNyqMcoYVJFwcaDiO9DLxQNQhDspcWJGZd0H3IS7Gv1JZDwsb7KcA+dOODOcdnnYXb
qm9naoEgRU5H23kk8/CQOBI85SPtVJU5zaeGU6WfRdvZoQGM6PnN0MmpqwM9ppBTGYuCY26XZX/2
xagNP15Hj7Cms0PPhcSnNm2tvEjItbqvohyTS5UOhtk7+HhiqRITtZ+2fJ98NYV9dgutj0X1FmFE
vFkhzKxvaQdfQuMc0WpNMwxO7QhN4mTXLL+ksQtH8WlPPItt6d0cUnOJcdiF54KAVTnO16hBze2S
mhcatFJgfW97imhCwNpeVgGh7qVLsHKXMSf90+SjYD9usEBEFeZzHN5uVLixijUIk7u8x3FaQ13b
6wme60XEa1chsSMva+DdIh56H2R0T/Dxj6EbajiIg7xKPCpOh4d1JaJYa5+JrI+BfiwT3ocC4F1l
Ih8PDYlMz28lBzdYDiMAhGpf3TyWyeD3F4g7Qp7GjqRT027pdic7qAc14i7ulLQIOdfIIPEc+rLQ
0Vm2WgGUM2nuy3hz/lO2xut9kFKXV4NgZClzIhOYxHCT3yIV6B+WYjRJNKI+x2liUdK0lscmrjDC
8WCqQI1Cx9rKnGfPPiBTjsHMFL7rK5ykK/6BKQw6133HITQXWcNVr8q0nSNHGznkUc4bFbspTe+i
wGbmFZjhwE5iLsjX1tov+87b15arLy1VqSixJgwv25aLhhVMH0NcHiEOiUwDzMr3mx6BnnuddOZg
uaaVmtWuyhwaryqHIR1e9NhntdaZL03REZyvdh2+ry3bD/nUAzBrHbsD+1aEVeSWba53XDbkkS48
ecmhPui6s3Ah8TzggSkhpm0/oknJJzWPS9Esed7eLtM4vZh5WdvGuNayM3iGNi+DwdHzMIm5jse5
P8iZpS+jDKOGrny6kSwN7mLpyE2sgNNN7QKskmItquOY2a+jyc1xd3Hcl2GOS7gOqZ2XRkXZdA/x
cVvPSm+spMsWumqWrahItlhV0mhgEKChpprzkuGHazzwi5edoX6DgcicjwLkV63xUm7l7qW+xy2P
y7/LZF93AvMFvgX2jFunO5icZpUZFX8TXRt9gSfsDsDJ6XEK6XDIVS4eAxHqyg4Zfw/H4bUXkJFa
LG6HPGbiY9ridSrTZJo+kpDpi4kT5kqmnSiqDhLuhakYP3Qbgr3onK2whCcPAmvJxW5R913yJP8i
WRu9yyjZbi2YwjpV83ROADO8AQuJ5fVMc6pMRDjfZYwlmFtxOF4fQvKdyOuS7sfhemu7ePk22SLo
mj7rgOgBc5iy85iO3VQtGkktUFD7BBs730RUJT3OkTILOpHe9WqJv3HOV1nGPb6HUvQ5LxDLGuYK
xiyeCe5Veh4yE+c1Vnjba8xasr0Malo/K2xtvJIqScIvuHg3XdKg2OwpWGVWr0oEp25O49cr0XqI
ditN2flAPaSpE9+MLRSuB2yeh8kwcPoTS5NbQGX6RnngzqVuMdLcusWobzJeXVctMMBt2dnefV9X
j3cFLyX2NKPgr/+w4KlsCVbMNqOwyQUafguYv3OIql0155+IPVp2GHK+3hCP/a0MMI6sdc/mIG2C
eYBhEO42fVuXvv/IlXWVhM5c92Ewh/dmy6MXcF8FBa+OGa7M1o33xw1D1QWn37g1buZcYJSjGD3B
FwfTfcK3KKgMu8p4fghT1WhlYU+ClcZDVBE+cEGkPbQ2A+QzyEpIDGm6ua6xtmJ+7mLM1MnI9vdx
MaN8iKdoW2psFUziSKPZtKtKR6bt/TEIYzGSh8wkrChlNHfJ1x6aczBWNiicYAegXNKFd5JP2UQr
bNuOqNLsfFhMlePCTX3NQVYVfWlgBRFfj9azQd74gkHSqRaDBUw99haqVVI6eETUHLRRc/fetpJM
bb3hVQHgg5RQMurSunnK1kOLWW08G26C4dcyL86mDQeZP4wNQomRfGFhDCroqIDwr2OtPQlC8SiM
kvg9kAAgvxGlMaBTbOk0fvyfQ0DzEJ/jIkZfU8Vd+p7qNOYvv2MEgbqiMGtPr6Z9HDGnbtC6cIVK
QbJeORq8h3v+oyUsdNkRpsyO922OFtp9GLXxgJdjAQEuwGbLxJbhisBxvL4ZDkGhuF0xULr7UNDQ
k8q0i5nlcQd3hd8WrjwxiW9JYUY71Gm/Gj/eJAY/3l6ilC+Olwo4djKwl2RNVZc1GVTuLrmExsx+
AiHfrZhxsDu080GpQuA8DtapluDj72LEDDC6K4oT09MOQ1RBjt2aD94r8AEWHn9XAfY3/UaadnSk
6xu1gQWn0A7GqbjdMfoVDQv6jEEvt4wqU0ZkpqTJ/Z6QI4i04U0Vpn8NwH2vZTwhFFcSg3enAQc9
/AhHiSkL1hnXspmyhfLaahDUrtzjGVjcnhn/m0V3oV1rHyEa2xMIhe52CllSyTgzdyLyfmhUMiBG
YCkQRRX0L4K6LT/PGOHyMhmVJ6UbNzke9RoiX+MKtY1w9q38ofaQSRytZGBlhnvU1Guy++elCzaH
ASHoG0yg2BCZUGl61BlZh5oNhfsW7Mx5VUbtNkfPhexkWqODcvyuQ6CV5SIsVoNxDyy2ES0i3mCc
0MvJ8FTaH23grooLJup4rHbJ2wPyY5YFh8HA63s18UzHioVkmhriw+UULVP+0dueQLDMkXidKgiK
XYoNNffL/VBkoanjMDXrO6BcAL2lVsh/VKCNZ4sBKYpBvEPcum+xeQ8lmTGH3zmgYK7cEpk3ucz6
S9AuE3wwk8KZReoDIeC5ir1Z6mJMKWCpYOVHmJ74xeSuDcoEqY/TrPpZVAaC2bcdKC2eDUafTBBO
+Dl3dUCM1j16/LJrRGgL2ghQvz8DYPUQD4VqbwMcw8sXLJcbf8rFoK9TVxJ3J0ww2UWTPO2+4YhM
/DGxRDxPW8LuEOBpf7Q6widfbLtDkIIZKCP73rlSdeH2WrjUPG665/gREK+DzZQPE07TfIDTKVP6
HEE+zGsqpu0cQbTo6g3U9uctIcg3pnIhp5EIgeCMTl9m1k6HNR7D90wvUUlzJGS47nfYe8vuS8AT
/h5Zz7irY7NYECH9CHeNdpbac5tp5CaWcUdQqWWbw7dL+yu0i224UmPu4wPYJRCAYYLAY93axOLo
DWCWduWqcgRfknaZMRSMfrlLjDK3bRzZog7TVuUHILrq0+byFXm4dcRPCU41/0I0RzB5wAD+MAfX
iXcpEHIuMVP7rswko3DW5dzxGhe6QCYAcsnjPkABKPdMqayRFtGPOgmHrtlnh69pUwQ9ADQPqraJ
+rUtfGxitrhqW1P/keO0sDduRYy+7mdbPC+pXg3+uDSdsRB0UIGGeLpLehbfFLyXOQB25odSR4ze
BAGPv/m+kxcXqOURKRJRIZ0Qf4Wlbkb4Hzn1VZcuQlf5Rjpfm82Lpex1sbLGcMS2cf7qpL8RUezT
w5pt6VvAuHL3UK5kAjFgGhB2V0P00VGwuOUARPh+AvscNvmWeiwFNIYlOrMwHZohEvyTTJ3eKtyb
mOown9c80XNx/dyyhy3ZIEMn8cTui35I3mfwv21pTf+RLMP0rtdpKlEJBu0RWZ+qoK3FI9/rjzbY
whazlQuqAJPHnTZgAxboLl/G1gRnLfBS17qT+cNq1umypjOMYp3LW+gC+SlgYfEGxbjL8Ri02TcV
70njSLg8W+3js1ymNa6ELbbrtBYOgLpHSDz5shSnJeFjVu80wOA0dNQdxzS2/TNSvF2tIW7VGo86
qeYkNQ3Gl+hm9BNHamWL3jnz7p2yNSrVYkJwV6lshqJnvxB4C2uSkvW1wLh/jAiLvk3IRr6H+JK0
DBw+OPiF7zDsizsH/PSo7Iq3rjBfEZ1bH5UJPSuLdQojvAf7I20DiYkmIsMR94EesWYsSV3kwKbx
1bfbHOvPAmJHXTgsKjOqHvbS8Wh6C4qevAiekKEiUPXPSo0RLDpkgGSSfPcG6r9upIIepL/hgpKD
reHFAoF4x0Y7DepZk2Ui6cMq+IxTfimKKzWvZ+SyQUo4L4YZXgNQuOkBVQpX2mmLYfTGdTKFgIDO
oeGD2M+IGPr1lXVuS7+nI5nkSUzFsJKKER2uQV3YlGwah5cEZw2vDeSuoFGXhTUiIdGOsbEIfVdp
menQnY13UDHLLHbpgZBxK75k43jFzGYle9fjHEt5mNaY80DQoucha1ug1gT0P4JyGOPB+3tktPHS
IGBJUuAQXE0/wznw+VLDaEWEpFnU5iWHk9q1Ehy7atk13ohncIYN0op2D+cnmxQrVpgucZnWb1Ox
MStqIIIF9j7wBp0T90JMi5nqBV0YWdSEKjHL/M3I3Ua+xL9Fdb7aJoKRrNwVx8lwYshZC4pSC3/9
SUjWhrQ/8tbZfP5sgnaP07JjhcT/h5RmnrmbYF2wMN8Iv7A+q1xIi9we/md77q+cH1xDMMAhrMMr
bgcD9hr4/zMjCamsWEPkV38Ok7oCCPZ3yjlJRw0qYsk5MQgl2NAFiOB2Ahbdv/kG/mo3X78BoKIg
7FBWC5cQptBfv4Eu9QAY2i7/IX//Bobf2eNB0h5PXDDBF/vd//2jMOYPh/v3GpQ/9yn8uV7h/+c2
h7/UKv2lzQEcCOC+/8cC/EufwyPqtRbfQxz4Z0f2b3UOv3/hH4UOOTpRKWoZcqgjFLH3AiTWHyU2
BQohYQ5FV+I4wy/0Gub/Z6cN/qdrcU2cgM9LUgBpcG5/67RBGXGUAkUDCICMP7LP/0mpA4JSeGL+
ZDejJxQNO0kONYwAC4T1/tcnChfTsg8q9Kc0HyVuzOuog41hS+5jJHhpg7Q4hN1h6FBisq3ZTMt4
0fpMiikKD/sMMbfiWEppBUWmT+FRpVlQLrI1tabfcZazhy3LgL35CPdAB5keSAaaepB8X5YGYzip
dyhyUBgTQPxNvnuFiZ+zKIYpzfdjEMXTm168vngx8/uoILiKg31/ZXGQdCWBPNBoGirRcDgCLzii
3HgKZzoXiAqF+Vc0ImRjJWEZiHJC6x1ibopK4NSO1YaPpy7fu5+oImq/b0iw3eHEzt/hrghT04CS
Wz70TJRRvoRoz7lmsbB2tHEDKD99BN7V39iEiodu4uud3ZbgGDGxYwhncN6m1boGJyG8i7wVFhUv
sq2cQ0NPoDMMJcNAXQl1OixtnyavhcbHHAUgOUoT8/AyZq1pcK6RE8hVBP1gDZekIxFiOXR4RKw1
w/yyD0/h3k/YUQv9wBkkHSwocrykeawqUeyskhvPDzGNQxi9xXA35lGL1GOebYiBS7WLakzDz6g9
Wm/NRN4XcAQv0bKMxbHQDFo+WMQWyh7ySUdsdMmb62V8ECYpjoNqBWaenbE73GJd7ZNQVgOU2bs0
tctznk2FaLKMpZcE8wzmgGxsyBA95/bxWtuDi4DMR9KGj8SYqyw0xcl9FCzmA2N6+6qHxD3Y5YoC
DFmD6DXqCwYZQAJdhyPoi/6CSYndUiXGpzRcyZ0k8eduu4bVp1BC5jUeNSQte/EmnZssSIfTFgLm
mKK1klKIZwZZ88EES14zRzZM3tNRojyjGci2VdyEU832aehKaidopXA4DiYb5C+6bd8xiQaHCT41
xre1j57xkMNKcG4+L0Dmyr2nSRMV6VZLcMJ1NqZPE542yO/0BgsoWOBizuqAL+877GmkyvLgwOMs
KlNQUSeMy8hUGGhFkYEP0VsevIPOac+q5/Nz2it151FCccmLZa4hLvpGRxDzeozx94md8dzgsUUz
QQYtWcHiLc2I6e0Km8kKakTaIHbhnj1m8dK2HZSSY0YG30avBetdd1hotCVQjyN0OMAV2XjLi+ct
Q3BLVR6WPyzqWKZw09EykpIynSWP3mBat6IJU9HdYCrJn9aCM/7ZkX1YEcMSfXIY6RTA3ss6jz/f
Is1W+PgzTdSE9IyAJ1hpmP4aIvwUpO+Oop7lvE0xV7jadywdToQ7wR4+Bdq+2K4j2wvGDQN/s20D
kdzLJLTiA3KV3scaut6IAiyeXhEMBUegtguSlDUes7b9QFNM21eCRx1+P8E04PHcJo84JybtlpdR
5/DjQ3TJ27oXY1E0gI9W2Z4AUZAPM43b+j2XNJLZBz4jamzZX2dwyEVJ6sqRyTXBf8EuPcNJB9Nc
8hCdJp9GaZCGCGe0OVbxqmOGFytyzW/Xz//e1P9lleY/W+MQfLhWyPz3N/U/C1//5Yv+uKULlDej
OCPBww9aAxcv/n1/3NI0QrcgOuSSgiIbhF4mXOD/vKVTsOsolwO+ci12xrj4j1saPU4IExRgWrMY
CF0W/ye3NCbrv9/SaHBK6DWkAwUDCZ3rYPqncE6XdajfiBZ+cXOUd+WmphTmuM9uFFrZFphvEamv
as2LkvPclyvQBlaFtkhd3S4onDlpOBWsKqY+u+x7TljT22lHRjUM3RN0voEcI5H74Eki1/95RqQw
hXuYwOjwGKaB28SLve03HF1lD1InLs2AV7JkMIaQyEZPGThXvZ/3aF9JOQrMDTuIRN1YpDt5hVeM
XZaFKQv9I5i/UeHz7wXklnrF2ttghQBjAdtqRS0PMKi0hkBG4lsar7xecAHcbciulYM1z0sfB4d8
iRJAL70NYVFkUfeihPBPjofrPdoIhudBBG5sUBkVcFyCV78dl1yLrVyo5z5V9njV35oItuep3TJ6
iZXubiJeHF0X66DkUzcd0jHFq7pwXMfrFsuodimbD2TN4889BWvUge59iWKXNZSTL631sBEmj5aT
PUkeTSz02U6YbXgUP/IMq3M6Zsi1+y4rHaTGxyQPkLMdt2eEtOHJ9j0y18rl/HvGYnUk+ZRUGvPY
TTQMMIoyN2N7R+wIqHvX3i1Agu43PoIcWs1ubsOtmeMJaJ/Swy+BwPvBSuIPS9oVVavz5Rmz5vcU
dX11xCJWZQEHerfgP3i6f6YkAEaVD2Ol+hRWEMITOcSPF6GX5Dlx1N0kQNIeuwVrnpJgoOKEf02n
bKv31t30V6Ue3ILADspIiZaZ4MlObnjptRyqUfbLfZxIXq34RCpG5RPoMXihTpqqQ7nzq3Q7KwnO
53uPOG2tXBo3UYrvNADyXoeWtZ/2IkczYA9GzVRinCj+tUJobJAqukk4bjwfmh89/vmHFvUuT7kd
e157x+hzju3sqYjhwyD2LBhK/Pb9ngTJiqCJDY4S0f3jHpjxGeRMDBPTrLexJOTGwyFWOiGHCI/9
3eSS/cNqCItNsK78QnB51IrIfi4TaIz1LOV2NIK1h2A2NxmGRNDc2Z21oHGhkY0wPTEKVYVwwSkZ
ERZFU4GytYNGUxqGJqZsX98CwGocNn7R+fDAQBZYDIfLPL77zYhHiEoPwdq/RV6jqqYnz9Ec9s1Y
qO+LyvPzIKY3hKPHsocyOoBUPcguXn01dCCK0BVVjdfflP8B5x59aNGqyt2En4mhmN88ZSe12eBu
KyhtmFHtdVj4wGG4PMRqcIdggSbZyzY9eyjjbyQLtsoJyAMD0yGm9hivVXDJGU9LFJp92JzNjckH
fUQSLT6L5YKMzO06QNOZV1BmI1AVtmBwzyjmYDLUA5oXm21T3UGCjYSSJpbngiX9kyrS9mwR+i39
LpMz4pvuaXD9fhxXGddKKX3cpcvuiLYXxKK3M/waJkEvLNvTRuCSoF7xFADdv99IxEe8YCiR2cKX
UQSkp/Uc6Vg8gmtMhlukee8HXXybZhRFZdlOP4kEZgaJUezIi449oqGme0AO+Su6c8gZghsqArro
a6ZsCsoNws2XReNHDgeuajCC8U3bj8MhBHhQqxDzhkUNXNMDDXv0OHZL7nDe4e9oQL42H/2X3cBG
sQznszV4Bjvv/BfqXQdZtgvnl1m7lzHMAN/DuH+YBk5oaWlv1GObsuicwClajgrrHcal1IbQ48V0
hmeF+RRFp309gYV8XkX+C+PWVrWxiw4bL3pTpgV6a8ogW4tSwUQHjko6LEbgh00KZBa+UACblO+H
Il5BFfLZ4RUfFVrWzBtHSCYiJ2/H3xxHbnC3BPN3GQh0KnEiDEYqvsXZg9SAaEuBwqeTNIXYbx3R
2ZOD7vmSaIZXRG549M56ten7goaQC98Hv5TrnqTfVjz9XRWhQoRjNWI5KTfgvM9zHwAZZFGoL1Mc
FpfZwwVZqRiBJs3rGYZl+4D6iv4FOTGI5YjM5kcuGR5cum/8QxVkaSxMjRNmQY46QQQLMZRrKPit
Xwlag3TUgdFQeVbum2Fnqwq8H4m18BPdHjwpHO2/4EHB00cX3Ha3gsB59ODUwzrPvNOojxgBXonU
YBgkbjef4TvNX2cddh+4k9ux3AZztyT78MBsSn8humlgEvQseUaszX4OZL/fD2F+zqOs/4lG1OxH
ioqtruw4bCxsoLZvWkq6cwodb8BpWy0FBO3aQ+gewCLiUyyF4MWbsT697bOl/wFyQLDLYOD8lWih
2Z7YTLI33CO0AevSHoz3MUCGPFdYVCT6Qc6w6d132XWU4DBq2RuVo310YBDxVHoePHYiW1QZJ4P+
EJ7J+6RXLdRt1KflVUyH/UzhR/4g6yyf4Zu99Eu/IVS1j+wsIwk6R3K8rDDt54d9TmZWLduCtEy8
dGxoPOJhd1h4tg9wkNtP0Jvzl4IQexgDAXwoaGlLSzf74KIjYR9HIKC6BD0afCehXx68HrE/JUEB
6yz3Sp9yFDx8oa0bgTLvzJxVtCZbLToxexg0g/g8g1UhCGol67MgV3MocMl8n62qP+Od6wTKe0Pl
wUG7+drDQ0Gm6fCD0ZWRZuyQlK/RlJQeTU+6Z/iZ4REGVA7qz4zw4AsijjieRYG1yg4VamnzWyxg
8yVCuwA0Y4LqYAvPrEewt7xSThWMPtLMIRyRTMTAgPlISRkt6ikyy1ovaUpv+8CaoczZhEbgXKjz
khOI4fgL8PSH1GLNy641S1QhlDa9S4RNx2Yl1APQRC7nZ4YB6o6Fm6qxkHwjLaevOR+Hr8BipkPC
r/4Cjng2QA+WU1BtVOJEBEgenjtEx+7oTvIvNtX9SaGeuK3iNt3Ra5j45Fu+odN4BcL0BuwGrlSB
PZ6Us7ZLOU4xyi/QybHAejMA+0TCPUxQNlvw2zz6CgcshsuVgkQibH1K6QpDUyB+9mF2DJBNG24G
z1K4gCeHjvGDzvEMSmnIWpQIT4K9d3QdXz1K/5ZDMnJ3Yxbjj1bANap3DdILwRXsZa18DHfTvc9j
ft96W098sBVglWYrDOxPkPxPZKVgLHLw9S26proaid74IesxGxYoIjjOGQaLMtWWfKP5jjQ3mVT7
NhIYq1fUhQRlFCSRr6KlC4+0b9v7ZY33Zot3do7h3hwR31/rXSX9wYShuY0C3mRGDz+5iKEfo3Ep
/5mJTqNTYhn5tQtOv7Zpzr5lZGIHO4XoYcNvc18q2BXmjsdOnluMWUvJWAoQq9OtIKgjJOKHAsg0
lvr6HyrgPY6WZLub2Mw/98z1nzp46MewSxGYjJi51QoIJB7wrLiRGoUqbYgZcdhaYOWQ6w6jns2p
6CgcxjFu5TvqGCJdcrZZDiMrhcemVJw1M9v3GxlE6rJlJLrFT9gjitJ139nerUDy1/U0qBmgCfb8
89yjoi+W+2flIY1VURzpr20y54/AVIKfEXq2fg8d/++W/G+2ZHTRFtga//st+e6r9v3X8cdfRPDf
v+gfWjbq1KE1IeYWkhBR+z8VsucUCzRSaagpCbEiX6OVfyzJCfTqGAGdAv1RKYpBQ4jq/1iS8/9T
oLED2niaI0GHGoP/aEn+24qMv+fyKphfWwBQZ5v93ZtBflHogcv9lLdRupfMkvG2da1/Ha4CWQtb
+t/kRf8eV8MfmP/2l50hE56ggvRvXgywHlTs7Zk/OSc0Eg/WVhlCH8c//RL+i4DhX6PnKT5VND5D
moD9hrclvhbf/3nzX9MlRACWOyhQM7oVYzc/yQmKWYcBpUFlR4+LQW81mUXwvKAd6fV//uOhf/zL
5xpl4bXVAmk5fDd/rxQ2xhed9fl6gnbQA0lEU8kBqnt4Qjy1uMXJrS9OOL0AR86RyFEsYQtYki4A
IRcm6csEtb8FTVf4u2XjSFy0EdTxAtGIAyry8M+Ca0a1WdIHO7Aq8LdjmbLFo/Gr8P7XvHr5nIhC
ghQt9hP6RsCi5dl8GbJ0fmfdjAouO0BcVG2EhQqIO/A25F13mAAu+gQ0RN3rTUafYjjNj2tiGE6l
RX0t4GiAI5us/8UX/ETYGu1bb0Z/XIAc3wKsRtsA64oIrmQ83nL0x39BbZj6gH6OL9xcR2//L3tn
kh03kmXRrdQGkAd9M3V4T6eTdHYiJziUKKEHDK0ZsPq6oDKzFIzI0Kka10ADRYh0OGAw+81793eN
Ilulxn0JRq+ESNgJvT5wq7ANxgvgBt8JzZediUoVB5HXmfQ3UvNhqifU6hAhbpxmrk41aCSamDHi
U+Gl7V2NrI1IypPkqb3no29JZlCeKt1HeinXVkSQnCP3uevKPjrOg6d2bmMUB/IrLsfqx6dML8en
Jpvde56OucGIi7/LdIpwoJLwbaol74NnsIZkNT0mfVS/DDpUarrGlb53ZcA7JNvoaPVVcHINLd03
2EN+yEFMj3rLj0Db6J4p8PunSMX2oYl74wF6XfecAd4+gQ0KTmVJVxvFTGNnK8xnZPDuMANsKgqx
6URUhNgk6KM0JuGhmwTUiWP4+mbdfrMj/hrnICzCODORS6J7Inqwh+YbQr/p0Ye3uHPToThgHBLn
yRNyrYaMpL9D6ldt8C4WB0F/nhzCyXFgaYouUpRfYgkWxCWWPFNNcmDpxeN3iIkL4qLPt2Wh62wa
Rv2aqmZ8ioJ6vkYJxa8iTNlBMfFXhuIbB5gJzhG8WuoojXOD9WUMbSKXjWtnsEyDpAzHPGcpjkk1
fjfyFJ1+ato3MTbSDZBGlGxIy9alRtFtXUCO+SHzWLx5ReCESkZZtu6VxtjgOokQButR8w3iyHxd
yWR6NGWZ7pDQ5euibfKtllf9O55L4yG1KWcncTFvSZOKsIt5jkxu4FYvS7So1Pgd8Um+nQkFka/M
PAnbraedbbD+GQ0hXorYi45Fl79IejBHsAvlTez/wBOuI3HVkBwD7ivNQ9I5r7qJVchEQ/UUm6zN
lanl6c7Ua38NIvUVAO74nSRAnEXmsCiVSXiX8KBc1GBb0g5xI0rLvgl66dwMU2Q8VGknXgbHrV+1
3ma1ejlOMjOqX63Sma4yuIb3yp98WoSZjx6gkvUbNNOuClMIbaugpZ338eX8hJegqzvtgsauIi6G
X0ZZY+qeRafll6nuDZ+mB/fH6I3oCIKpDF2pp/u+Nj2YuThjdw5m528C8iWPqcwH8LKJ33wx0jw4
ZfqEx5qmcXPuXTP2zWf/ZyNg/OgKpJhvXlKjKmkWjNZcAebuZ63aYECWwzWqejphMrYG+2Ll07Rq
bDU9Gv4EYcKlD7miK9OuG/w0W9Yh/KQeVDMaZNWzNQ3VeagDk5gvC462lt/2eqfd4di4aM6AtVOU
Wz/xnLu5ddg7PWWdWye+j5zoXKKEW+seL1FszsmhNPPHzrGNzVBEw2awp6+pX6LlGYf3PDHLg1bF
KGHs5AC2MV5VxiBOdTnKDWUFFXYwl9+RnTWbOO1QcDXRtpCtcYTVGKypTHkARx0iZhGnZyA307UW
iHFCdBgd4VketVw067Ro0OOIIGoOtqkv7UWFnkinQouvBYhCWRQ/YjFTkEBS4e3IT6cwsKvLVHnp
xkRte5UlsbjGZyG3bsIL22SlcZVOkdoMtGMPM9jOEMmbftDBq+/hj0+h6Gnr1RJFhrBIj8fKyHaJ
7okQb7F+JeH97ofYuEcMG2xd2+tORgWLcGNy7ymvSemGThOgmy1nniHO5X7cmyL1ECoiyKqj9jR0
JiU2Ux8OsQwMpO2Bi4sRaNZ6irpvVg23OnZizjwOcB/bBMccIXuPDddtLgvHYGX0eYfuekjUKqGC
sgp89eo7I34ZK1dXFS4HrKZ5/oIUrvZwBrnTDsEgowQ8V/hrIP1ApEfbIkK0mjuiM39rD3QRDoL9
leSSTYTqW45uciV4r67tohNXco7mDeUT82Aq0a2tJOGt6jbIpxtSNVbg1BvOUbitepyllYVtRprk
d9VeFmtr1Oqj0brzG34u52BO5fyA9KmOSXmCvZodnBhDNN3io6T7Rqv1mJfCDl2zKFnuOU0zbEkb
EKH2ndfZTBuIJmOA3CrLFR7ubaNhd9ICTKkSCCOiOCv74rkx2aQ+ya0dTeNqQFK9bZICzmNc3hWG
xlmOkvOQIkGyVvY4rmOqBE+FHxu7gq75xrXq5OCPoCYDGdnXNR5FnOJSu5QIe89gW6cjdKoRoZFD
QX/TuKRjqJ/PSTR7p0D1NO7oDKP9w3furEs7ya8F7d6DSPBlhmnitlfFHFkvmAPRDXsOBpqVKYvu
Kpni3A8zI9O/i3Kp5tte5aq1nunjYQZ7GYpSa3d405wXWQxpup7zNMNOG3ffSgtD+bXR2eMcr4zK
iJ2XYNShssMiSVe4C7uMQkWVb73EGb/WmYFVCLAscYFo7pSi9OcC+ak3/limV5oqCjTLk5d5LL8y
OQB5ak9Bg6gNrmSHsoEqaLqnRhJ1YZbWzs2E330/J5X4alIA65D4TvnybKgwLiFSllmcQ4Ux7zOn
q2jWRA6bs+jfKZhKEcbSrPOtnnccOIJd+EdVFMByJi26iNxb3oGcMMGLdBGtY2cgIErSMmwS4dzM
aapdtFoIvm5qJdsBobS/jnUfaClBXrK2XSW+okWexSbB6HQ2Zk5nsLnN8WfwhVXBeEBb0r0Dzsz8
tUnplji5jKDjQwwyN4Sh7j3gc8KyJWBEoDra+TrD2ncAElOdCuSOezSTcg2/lM24zeIMMaiJ4Zq+
Moc7XFPtUsXB8JSaVBshLudrOkbiHM8fVxE0XywNS8sqapplU6am+aPPiEnSwCM8CZrGuGUbrN4t
4dbjWosxJXWEiUc3ZiNalS2XM3Vi2iX4f5+SVOfZGY3mV6FettOOcRbTFT1vvv8wyjUmomlXE2y9
iC6mGjgt4S+GDNS2qjiYuJZWi03tAX7R9MOfRLqj7VJjTIF1TiO8m1YTg6nMFTCh4pAjNbn7+yTC
WFKhX0VGMERcjw6mBW4MnmPwibYx1BYKyqzp9zZgi4SOx+DceNjiNjGOwyN4ATDGAd+mj3V168U1
+JjOsfZzX7/GEVh9DbnysbPG6QprffNlGGBSjqmpHiVR7m8kdgYJ6Z8uFm2VabmMHmUM5qeLhTaX
e8Aqur2WYmmiBOPeT4LFDYY4udEGnjTbPw+V7pDxkPcd+mrOhmNeqfotE8SqHuyp67+/gx9p3h/v
IFhsc4ES+STLf0o2Y4qpJm6Gbk85uLFC+CHRuvOH5jRLbdy1eD/XbIfzZrIsNvsIOeuXDDvMDjoe
r4Y95pcMwc3RKtx5P0RO/S7Swrvz3VhgkGvmxdO7GLJ6R1v//ZV/Iq0sCSxzqj+ePv1wOuyo3H5N
YFszyGtkGv0+1szmGEGwXlIhrwqbrGnvcP+T2mFnWY+8lK8IvaDiy4oXbeid3yazf3ExwER9ihfL
GCXX+zx6BhK9JYpJtnvVcKZNXopwrCmDaVtPit0preQ6wAj3YzSncY/Jk6aeYb75mXiWVWxtUtyz
G82hNYnXuL7GdWK/jCiJr9PZyq90vbReTTtP1DUTbarxqk0S/wDgKV/rdjpvU8ULjbEr28dB6tzo
RoIHC3PCRRVlcCKAnLeVgnFmJ0Tz1Npwuy47jGkP2mWMW/dec7zpR+nHurMyK5s6IwPgSGlsl7hX
QucaBjawJKqJ2UmWyUuoAcKtRlJADTAu2Yk/YnVVzc1dVTTLnhIsYXtOQB+UTrey9dTFqJCLjaki
ga7G8E/Z0BCDLiIdXKnjUzxr6GQCxyxeW2vI3SNWPm88NZGMuUkpTStNdb3aOHGe6OEgrKig72mh
GcP1ZPZaZ6/5QpX5xMgWgxanJfKD585FfMgJaVBdLf9hQWVHa522hhtGKSy7EUOrb14Fut29ewWG
fE5jYvpWTzLIKFHCN44RGW0Um3CyKhShvKcM+pPoskPSaX1P9s0WS+vnWc9INU3U32HnaHUbloGY
r3FblyFDDMTXKRtyZhj06W6g8bPWc8nbMfckFKjjh6c+LV49usHhrAzx4svCQhw/pVjsl3sX5NJP
UVhw8zl0tEtLu/xgcHDc5daY7qI8YeH7Tl8cesev36Dc1G/2hLuwNwsTXzLTeLZW77e3ZKL+aaLN
uxokSb9bVN0z3O7uWSnDOqAor1/7JberkqAIk7IfMSHMBca0qZADXbu4PLRdRtZSeRYzTlLvrrTa
4Uk3BnNjVmb95mDE3Ok2GZYwyJ7XbTVzAvRMo3umVy/JRQpx7r3UYzex2dmYPuKvkXmTGUU2Ooiw
dmbeEYSRlbGCJuGve31uvtWV4q6Uc7HqyA5hW9rzvko4ExsB/YyQiCNHBcsRusjht87kLVJIs/mC
5Mo/GZIyC7NKglNsiPaYTl51cmNuXMsBuqtoqIa1X41Pvk0e3csp3flLBQiltziXOfUhwElUCBjO
8wMBXjyD/5zFS+6Wt6PyBLr+nnQbN8yNUWHDLmXihobNL620JXBerlrZAUUsP61ZGHWxPANLFgdj
eVXVctbodPvherBVOY0atqotMYxnsIE2w5hSGVmS11TpJPCJsps7vWp5MjWa9PePs1hUcRUttZ7p
Kod9iFWnldR1LAShFFb5doU3Xc2xO12jhPdPH8uQhi2BRFw1+l4N2nRtx1Q8rG5q7j4qPpXF8gGr
VGCGp3LSlGTBBUM7mDpGQAXM1z8NEXKej/KAFmvcBrshs6XgyK1fCnlz6k/bXFAQkknyo4XfcM2E
BGINxdwsTKuKWpiPDQzNhcovEDUUfrAkD8hTCMmG2lO3zTBSnKuAwKzgGRUHNfONdJTRFHFmXsE6
kJTgIvjRlHZ0eJODVm+QGlHOoHAnN0wEY39RpXNj5q5zT8Cj44dzx+65z1oqgrOdN18wB1Ioc3rZ
fENQa246vZ8eIaZSt2FmwQH4z5I32mxrZPTR8aNSo/nEFj7HTQuvJOU3lSbFnmZmi7MMPv6jfvNx
YKuc2m1VJ/ZB07XvIHKXcNnTeHxFSbDUdHq+/bk0U0qXwqY0VNVGdAEcXZ1EjT2akQD+ye+75ktt
UEMzupia2rDEytANk5vRJtOip9KzuWtm914XQf2qYg48WKzBSXrss7VEk4Mup2m/gf/ggeT5YGw6
0qdN5xKe9xnv9LKem3bZhjtGcF7RWqUiGaQeMW/e8uMc6Ew+swj4kqXqTYy0nAIkaK+Gz5Kw56F7
H5qofmOWUnwDNoOyEVNsQje3SQDYiVBq8nVozBWHj/DWD6iQxoy5vJRypIqE02Tteob58HE2GD0l
YIZ7JjceWz51J4qodEPtGy/WsBsGMvAhXRASNVNuPsh2GhH12tTPaiJhm3Q4TNzMeBCgTlbpwIME
E1kcpkKvTrM1VCc4E8WhXJ4BHUXx0qE0E9t2rgnOJTJxE4IPs1gJk0VOfU6vC/NBKys2W/axL3Xn
i5eEsVhH6hdu+FESRK9rH3xTRMe4gtSRKUKQjt1EYDbp8i09SlZIrQiUsHIgfmb/6S2LKmjNvK9w
0sf6FRkaBWqAj09WGpEq9ATOAFHl2qS4vOGwZ/F8bLMKgceOytF01dZ2/ExWjwsR4MSST3SKKlRr
MbaUos0jSp55zxwUShZjN3Iz8fnskpH3CPQip5Y7CnI8i7WmwSlXDLR6NYGRpZBDnOYogT68ectW
aQGz37RM/7uZfRNiHc1Kql5at7GYGkTaRcmEd7KlOl313nTt4VB4oOE2fPeYB7LrufRVRbBpQUAl
CRFFLb52ZUvI0XRzcWDWF0mMSJMb06tex9Hhri202AOcGF6VMecewM8iGxpl84WohE7koCZkz4Ve
B8Qtg5OepaazycJsHZ/gXRDNTiODogYe+AQ29xqHbnT5+OvHizmVGUeMZgztNwdT9EVwqBwq8By3
islKW2zr6a6WNS90SoQbY3lCr8ggqxsUHDMCayedr4U7k5FJb9qqLv8x2HMNJ6Mjgf0oFHudeLVN
MlO612U4YRZneIs5DzsKCXxjeQAhJ/cDCuC5jWkmL50YhA1iA+ODD8th6Byx3tf/b735KcD9TasS
/QJdsP/cqQzfmI8JIeCPvpufP/XPVqXB7GiDphz6XNN0HBK5fwt6DdP+h00JdZkT+IGc/YOgVzfA
JyLlZWiqaSwy4H/1Ks1/0L30bQ+tsU/XjzbZvybJ3v7M0/52lPSnptqCKaWVjdXNs3Q0Qvbi8/pF
z4u6CRzSMKhzJS1Q5BIT6qq2mIMV5p4c71zNmY6ZGpk1rOt5/9LX9viY2x3yky6omudf7t4/r+5X
hqmxqId/SS5/QlODhblp0/DFa/DHq7GrSeQBlYSz2VTGOc5R6awGr4alocaesVSjtIcXbxSEIW3p
9w2pW4sLk6lZno1x1aveg77Xb/gdCZ5yakKPs6P5xm5yneg7MjxD/SZHNz/1Xj+u2MVTFZiMJ9H9
z11Rm7CUZzv1Z0sBt1y7DNd7ZOayb23Z09BGjyiis3XqkfzOaLLS1ZTr1q7EAmtAY6n794SSlxGm
mnDY+tMaEEG5JBFe6+QIkussuc0HoE6wBbo1PLLgCb3sFYP4HLVJ8bJco84Yy9+0ev/8GHD36R4P
wmVtYA7542NAfg07gMEBZwDhwVMdk0uv7HyxQYhqULdStcG9iIziy98//mWt/fr0Pew9kHItgjGa
+qa1XNYva9HR6eFRN6rOlT8bZ+RNwxl2Zgg5P3n6+0/6VAYCXkvtRzdxUPou0xkWKf2vnySQyOAY
S+ozpET7jTmTbbGLaPOaq1wkG72hhxha+uTXYWY5svzdovkkol/YudSzHZO6sssY488fD+M2TeIF
luY1uQNSfnDeclSYxY7yXLfBe1+vJp1Hv5NFI+Hg5bX3nWo+YwuDyT4pF/wGUvYMsFYG3PLRaoVp
rRO61N+FNoq1rkH8Ch0qy+3esahx/TwOcFrG3+u/ek3//KB8b9k2IPGi5vTsRSrwy4PSse9UjhNp
18YQlW8pnnXKwlreV/bKmqB2H2mv519jPwBzODdMhMJPmy7tEO9H781zTTMrJu6vs/F7ipr8fXRE
4h3//hHT4/+8nCzmH1AlhWTCEA7HW8prv1yl2/qp3ia9dZ3ZDI8JyAuJHnfLkMxg2yNwpdrc6Hdj
OTnDCtKPF7ZGtevMVuwKW0BQL5ryghS9VGjhZPwss5KeeoenWTiNeARR5xOZVhF5R5YhiewtDEJR
1lVnKbQOhgF29zg20DEB26ARb45JuQdlVlzMLL6NQdMpPDseTbyoeejpKVlrd6QyYqSTyd5gD/O8
0qWfnYrE8V8iHXBS4vrGCbX7GIRSTzCQ83alB81vyWLl5M9rQ1I2mzP1TXRNfz8wYwloQ9l726hr
hgNTQMyHJjEk4z89DWnpjBj1a8BUVFqrVaO9DiUISyE63PmwDA9GExTv6SiwXQAoye/TIFLeasS2
fWyjdggn7gNGejO4AdWlNtjFm61hKGOkT4e9D7QkEyTDERPlpuysllJVgDeQRGfNLKx+z1FjypBJ
eO7K773iiyr15MpsA3HvAIPZDUGmmVuApPOb79btptMVae+Y+5TCcEe+mQg5f0AfFlRAzB5bZBWb
Y7xVfVbzcki5mWhk+du2jpJ10VvlvuKfMjnIbmtuNPDKVdZlmQaSREJVrh01r+y+iEKr16oSVkq+
iW1mzNxJC0tL2rVUQDJWUk9ZRAbdTlmeOrk/x9YPslmG2ANCW0ba4zlbBtx3UlMLtyNo2crrb/Sm
st5qwQgNg9DPfd6D84UL08w7yMV9BAI2JUvLzKK+15c4NqOCOoQDzyCChaYjw4dK5FOUjMhe6a/k
WEeYExDrYVvQRr5JGh37yz6fPLnYDoqgP7ldb7GiZEQxRYYDZ+EWz0UW3Yy8Om4cNr4AuWEg2Cu3
VZG2wQq/O7STjQIMFmpRYBAoT5Fe2WFN170Mk4CJHVtZeEW56SKiAuwpcTmH/uywY1aYFoawTFqt
oFo9xd0tIJqSQRRx6v/QhtFL9bVemz3cW3/wzw7wvehYWV7vOdg/VUfvizIOuxucuDjxmHnWjTMD
L9uuSrdT4ZbTXu/oKVG+g70ResqZil3LxFMt5LGaz5ooZ2MNiQlZL3907QYyGaakoa+q5wyba3mw
2qAvNjl618s8kEttMyg2xlWCct2rMHWaSb+L2lFU9xzG1hGogJlvB8EVbOq+oI7jG2qm959NQl6X
Pr7Gjcar0iICN4ZjazlOsY4jC9OxV408ztTDbLuqMP/O3+E7BC7osh6sm0X3qDmgKrT3lMRyyoA5
Q07WWFGi9TxEOUAKksuA4bAys0OLiV70fRlUpF3pUYEfRES0qr0k8MTGmJhgekhSQ8abPLATxgHw
7yioYp5h+aBhRM6R0jcGFaa9opph4hywsNw3aVcxq4Ru5ogX5YF6nTmcXRFM9boCKXHtDHgVdjG0
8UXdAL/K2jKp16hegJBVCWL3EhVWJ50Zz1If9w92Zjpvjoqo1PgGi3c7ACe3KBfMKReP/xKZicWU
9BAv8iZF8f9SSPLmFXXo8b5zXPlVtIkFlEzG0cZnOhJlSAwY1tYpamYVU8AyzmDf6NV2vWM8GD1w
L3T4eHLDngmvCil9maX7FnoeFEuPOtFNqnnBU6U3y+LMsqbbeUWXdLdqsns/1BsEL6tEVlxYDe7U
uOIEC57gWrC6S3bJdu0bgaoPfRdE5m3WArS9mD4S6IOyM7QUvcKQuYqSSd06ueYqmvslH13XVF1X
yiz7GSart3z55dKp2y/XJUrjbDsV32JoGGu4dB/zOQzykVdHFHGe3lWUQOAVDkQFMf+PPdXsq+Sm
MWz05CtLJGi7Etmq4brUEpA9qT40yOEWWeNmGhd3En9HZcw3YgOBT7bEyUjBniLTCo6Mz0r9FbNw
c9bFFLtvsloafarNpovVK727or9pZleYNfLsHimL3HWVbpybIG5emJ6B/YM5eal5rH16AleMRwEX
g+iigSvI1C78H9zWEGrm9C0vcudWDR1EpUZHwf0s3XJpHEVQz5j1uewhaYNcijzAp6UBCLrbCrcM
nqkrlNtSihhyk802N7UyuaQAx6/AwWXO2jFbkyGEhWNzHCVm8NRm2hhvCrPiNZm1yAoONiWx5nvJ
hjwdgSLwbgCZZY1kDmyzLbSzccMhI5srox1oqWMx7/EVJhZ1Fq9tsleUysGDNhGmH+egb413iNK4
QUrD8EaAtSa/SpXGwiGWDAo4CB6LDDVYKczUHsf+Wk0eHC+sVyvf6/Z2SRV1P8uFLw4Kspt3osjr
+poGvH3Set2mpNRU5XgVT1Ik1OW7MnkgEuneddDxVBG8tBtXeYI3gTLW6DecAlNzX8DWTL8Y9Wz5
WMuIwKZHRCZawC+DvbtJPBA1Ry0S8msSIwtFF9O5+SGlUXanOi2ad+3QdOkmRYUOjs3sM+tWYfnA
g+SKhZEpRh1bk5EA/56IbrqNxBuJScqv6K7A+CnZO2jYbwxlIRoaC1i4u5l56lyqrWIP2cmkd2Ek
IFI+Qy2iLJi0rDVOuuCJtV52t1VQoQYbTBEwirRMoCKo4YVZ09I3Vnk+eo8OEE25luAAbCjHhT9e
6JUHwABjVvRGpBZPk8RhUqcUe3R98lqRWLcAYQv3sGAj+F5KafF13moUq8tu6S4TjQ39dVFEXD+i
rXjbJX6eQJzXdbxlNu/95DI5gJEoifezffr/ou/fVFKghyzJ/H8upZy/y/96gYT8B9H3zx/6l+jb
+AcCXZOut/3hjPbISv5pjUb07SENtpHT0pVmoB8Jyb+s0UjFmQzgUGXxyLRo//67kmLrSMUDkCbM
IKMugyTgf1NJ+ZQTgUuDTIQl2sKkHfgo0/+YbRgjEhddj+sDDg6G7eZV7NxYrRTnuZD+b1rZS+P/
l0T547Mo/Ojci8A2PqpDv2Y2Y0eG1/hGdfAge53ncTLO2WAFTxN34IR2L9j88ij+IuH7lEktn0c9
xkRezhSHP8+SazFXesLX+bwSxOlK6qhQV5kiSe+VbR2oErjWxlK+8SBdZMV//+GfihHLh9NxcqmZ
8PSW4YJ/vLGNpneqZhrzYW77/r0sStDYBTC502TM6qKiOeBg03/3lf/iFqMQQWuOTxZizudBin1H
u0f6Hs1LVPu3eZH07wxhYZsM0lbdxvr0v/5A12CR8nGsXtTonwehEagqdHFtsE/Q1l15RObrKekD
4GWW9spQdffl72/r51obJgxHR8QBp4/gODD9T0UeXJP6HEeKsRO1avLV4EYETPPcUHzypU3CCvvQ
ABhX2QfmjxqXZnSqJ3IoDywJeU+1cOm9Sz+Z5rBqR2eApy8SRIs4tb9Mpv+bVcBQ4c+L3nOYw8a7
jyCT2s2fbBUlusqs7Ic9mX5s01kxneiqiwudOfA1sg3GxxjyCF9nKhagOhEi7+B0Qb7X7plf47rH
tGOmVTkJ4io8eu6KbgxriUl6jMKafePMDJEyOY466sDNR7RZmuCNwSw7pBWD2dEq0dqUmHMyZ38r
HGWctdbTWmzGen0lgH9fjN5VtxGJcrGaKe85X33Qg9PabWc1EtM2BFYkCerWZZdw18wyzYM9Ajzt
Gdl4wNDXFuToAY94gy/X66jD1Sv0sobxnVW6+HCNNM3UNZ6r0b5T1SRPlZ6QCrkOtYcxsMHufGwE
FAR4T3G4qVtN0p8I8oYhCCpq0DdnpqB7oFsHl1HsxIAjomvcceMtuRWe+4CWZAq0LIN4abTOG3h7
daE2RaBejpF4sZJeXbRGMx6cHrEc+QNBPyqM6lBNgXpxofoNIQaSuuPOQngZ7JZvKnJYMEwk5QMJ
aKInE6YvBQFfOm/FwH1EJMJ9a+kUDgEPjSAieJLN7Ly5xNUX5EbBprEQYW6nOiV0DxSR76obI3X5
uVaTDEVzmFgpYXmaq+69yBbQi+3wZVHQiG7XSQb1gScEIXcMvCgtDwz4bgDDuFhOhg2C7+SZxlHw
5CMWRjyL5lptygmPMEpd13772b+LBS8/Op1TMLVLDIOIBhl9yspQudDQuTBWrQUUWBCn1+oWzwpR
x0gTMwWFi7ochw5p9M+wfmSeZLwKEmQUA60jsZJi+a4S9uLKj+t2/3H/bdU78PF9G0KwB/rTB9gT
NkxtPH/8GxCiVVhOesa+MSd7je96l3j9uJZxEGwJ71jAyfJ6uH0uxZ4pIVF0ZXSjLmjuSSYmNcoP
LhSDjZY5c6DmQGAWvp6de4YwUC/xy9xU97iy9ZZUp1bRuCWpnlaRpfEDFA0M/SCN3hvVKoY+nhw7
EmdtBwohQ7oRaxMqS6yUBTALB69ilVDqOJlzML1QW5TvI2MIaC5n3Zzeykkz5XPH7U9IOaqRWlxS
kVXoeb3SGPYEXZ4h3JozOtzn7gFBT7JR6YQspEI3hVQa0WajDtJq7C2oYOuMsGUIx1HuI0zsV31c
qwe3HOowERFEUVp2JGKk3tDyjC84U5q1SCZGWFGxv9HcpL9IwugYhMnovPY2qTXrq5PoCIJUXY00
5Pewx2LYCbpZIyWr57PfDvE7EbVxdsFeHivUuGehVwFNDHTo6LllyQNXGqzamVkKSA7m/j1I4Tiu
IevH6ZrFjbA+6lW1htrNWC3q2NGTVXVQoA3NfmSGqxYyifKtMhgTkaF5tveNtNiyDQ990wosM0tq
yp3uPTH4C+3HQV045ljLZgSAae9qGB3kjOCAUqaAHdQHT9io4Ul7sV/CchlHdZlVEj3hmjfOwkZb
NHUL3HDM5Zsi6XvKcEhclegMHjKw1M9ZO/NiBZPDvEAdEmPqWdbBFwFM+ABh6ZpjtH5wwZTOKRKp
jq8Rbw0L9NqRmpEePM+dMF7LVtOgtoAt9A84uWdLhobo1NZqjTY/4nWwvs7x6LibtsqP/zNKA2VR
cqDO/OAlSfN/GachAundmy5Cy3U6yoNjDdq4tmRjhLyX/56rUZnVjRpMZDazbTLs848DNuzJhB6g
FTjCfg7YqDzN/soUEv694MRqH50EUfLXwJf44Rtq0fV29uu0WOFdHWw4u7l2Kot04NaVgDFmhqh9
QYRU71O78m+8xNLXGW/VzkOKlJPWR90LFANiEYF262RR3IErN/JYG6Cym7SAjbphjEXcnlu/mw6k
bj6kk4k0mbEE0Dcx4r/rBfoNJ3LY3nJ3ZtEsTcBLR+6/Zq78spQGNAnrOKmNM0NS2Usb12RPzwJ+
z8jEi53bo47qJI8mLIqAfbAcMq7J85nYmAqb/5DkFUtQWTHmrUIwiS0G2fVWtGO7n2haoYdz4q7b
AerDzSQKxu4yiYwqK4cJNjzPV7dATHmXSNOLnQdUYF+3fLAVzfbbPGVs+B9boJcMJLsecz1Y+mh+
klvMX5CDByHtkxwGnaqPQ07aovl7r4DAwL22Wk5+c24c/E6cjx0+arJDJy3I/VBXLBVjxyNimEhR
dj8vy2CMdLFrkoxIItI0ji+P+VVXTdG2+3GiLdYjBH4oISVD9CkoO5hQJyqqj1Npq2vDjVEy6G1Q
v0izEagWnJGrTkvBd5XjzEdWLTKzC72KouO0cHsYwKsiiRvIP9LXR89Dl2S7xyFn4k7I/IDpPtJq
58VNDDbWqdWykxStwkzwlyNVbIoElFdwSt8XtaYfxZBoP/q2CRhkIykuc81EOR8FM1NJloVftJzk
TdCjymgbjqcYoiGCRGaGzFxJutxRsLYM6HJwhCKwhPG0KVu2Khw/PFFk+TymoVzKfgw5OWtGQ9aA
/1xnMIzT0cPdFD5q7ydDAySHOGMitLyH0aoN9+NP0Fv6E/tW5IwQ5qgSDFWBiRY3E+XgPNWAxWU+
0XK8Ywow5VCsSxfEHc4m/aDMRUWZrpHGIBxbIHSYdohBvAVpmH9A6tAq0ncFXMefZq3wWxyLbBbX
PP7mAiknOeQL9E5pQXrUmBxCTRsknr3A8WJKVrCuAOYV/83emWzHjV1Z+1Vq1Rxe6C6aQU0CiEA0
JIOtKHGCRaZI9D0uuqf/P8iZ/iVKFitr7IlX2k4JCDQX556z97flKPgdgPTKFanHUJUUhS70oLXd
RA5LutFGyCDViJHOCuVrJ/B81Qrqi1ZkH+JZ6CiUIYAyhjbB8k5F0q+APyUxxc5ZoX/uN/5f3wxk
hFT08VkV3nDAvyn5fHYnmIE81xQGEo6g29fqWRTABAYggxbqRpR6cAepjcO7yYJFmK5UwrSJCWZA
um6uxMJJl+UNd5vv8soz5MtXBHjOYByuhCIH7GHk5peSqT8oi3g+qysXsVYs+aWtdOOqGsD+eChb
KSCnJshXpqI1wMTWbqn8cDSs1EXxjb8IpShJEL65KTkbpT2aobNX0uVV4HKJr1AXRwwUBGFaYDFV
LDVUBEPtKXyBIYuhfmIFiel/E20mWQ0Z9JxkoysHcnoavFhZzkNaxKw2idXyRC7DarOALkDHd4bp
k3gDZfcHW/F1l/TDVhzjOBsOQWNBowXxftu/kCSH4M2o97X4VvQPkJY37Vr4/n679tPuB+M6TlN6
GWz7TTZuP+6CCaHrZVr19T4vLRZjyST9vgE0gk9o0qqTtaZmHL8th78/7k9bf46LrECQKIvzm53i
j8dlS54bMHPq/ZTm1nOvkKuLXIzG/4igv91WRTnfWlbMWtwMa5X7+6Ovg+R3VxdlBbtiXnBO4n04
6tyldE/IvtmPAIb0DQlQ+r2zrrpwn1jt+6jmP9W6ZVuyVt7YFljcv53Cfzp2H3TsiEriGfv3DTtm
y1X7/LX6vmH3zz/zl/JJ1aE0GNC60BjgYvkOOKyp7j94pOAw0M5xdViG/79fp9Gv02nKocvQTERT
9Nn+Uj6BMnQ1dmOWzSJg85f8nX6d+V6EQfPMsdEG2A6HM933faUVkaWGChM1hwF86u4QYjmz/Nyy
jS7bI851GyZVRlcqTgO761EvXhjMLAhFLVxT2P0GzB680eOaDpEZl6WCqoW0KZImIjXlM5W3SRfI
LO2nMMicRCTJhYjGAVMM0Jk0lCCiFo71oAoEivjqIlnIKb7QBszGC/F3jg0B0IEVpQwW7J+jgWaH
6QEq8ATXbhgO6he9bNdkeKvHEXcHT4cFZOuY0YifJp5k7J6TpN+OBFywZhYONlOPmd5K/JItwdob
dD7AWEkVZQ78n7fmf6UYxKu1qqX+/WtzRYka/5f/nFX98/evzp9/8M93x7X+QdcTci3qK1xW+pqX
/mevW1NNXisWRAREa/9X5S39q9fNW0WfG+8JXyKEhetr9ee7Y4p/uIamAuxUdWdln/wt1aBp/7gw
89LysPG263z1BP14g6769x1omrUMdSZbv1jYgkZLkABE6EMfGy9Qru4S/7y7rQtq683giJQhmAm7
UNFzC1d0ou27oVYuQs59OzdKsYuouT27WmAcRuU+xs5zdJrR9k0czKdKlsodqWu1V5WRcupBYWxq
s7DuyMmaKABhLW2Q4IC8JiQMLTPFsdXhJOTv03Z60yTlhoArI0gbN/Q4b6zNItpnSXxpsdM86q5Z
o0UOb8alOQOp8uHEACUgcGPfdLWxQaRJhim0UhIj/FBiMack/yqFNvoyrTsPKR+eZKOcL8OWUIOx
V31isv+IFYstU94pW0gK5JyoyxLwoqEFiPSABNvyEa1xuu1qiNVLbm7zqT232WxuqYH651bvDdgm
hePVAmyYUbDn0AqNMBbmU35fOu5+7mRya7M/85lJLvsaVx6EECIqxroe9lGfntvZJT64yxbKv0QD
5k28oanWxpYkBsOPEkWgDZLTZqjy7pgl9mWs0alga35LkOS47UM7cAu5r00CMUNmqyTz4kUxqfR8
PVQDJSEyTcTzJ9Hjrh/69UfUGYlqZG35OfnpXisUi9pYvqBe9I1pKo5EXSQnIKezZ+iMyxd7pyR5
vRNLQ1xZBq89oS+8aYS1d0P32M+V6jmZjoxiCRXIkgnpsSro6K6qMVjIadqhuQffiIbroANWv7fT
ejl0uLR82x6bXTdpYqd3yux3k2qiahCkajpsF6QFC8ywzK2rpU/1VJsnLK2HuQyRaQkysiUkm42R
RwGFjb1xsQxhMFa2WdrcV531yZmWi1RHNhQNlrlTAK9taabHgV0Xz4tInzCYmkGKJZ/O1ggIBCXT
sdHdV3NRoGoQsujzTNzn3bSxRh4Jp42Iqk2rnYyyGYgZYAhyYL2BEHHP7HIVW7440DrWnmZz0bys
hXqgZC8LFDjYhk69BSAHNh8ljrcspUMrgmchKUkgtKPa3MeLCVoBlYLHpr/xM639rHQEQWU26Hl2
qLjRCLMMNHJJtpXhmjuLNKNdaKQPrW5Fl3SYi53hvERupx6Z6jaeqC3lnjinovOkFZu+nSfJLQEQ
jldC496k2copSdz2Xi3xMjLMy24Xpno+8aCXXQ8V1EmzkX5UzLCcMHLG+aq9LSfgPL2uqNdU78tW
XbKCbGaAAvhcdR8ZH9h8O7UOmt6GXhI5wA/0CPPaoJ8IEZe+gjz1AdgAVxHRiE9IM4CCyB199JvN
RhUVFCCRqg9zaOKjVvDzFQM+lz6ubc+VC+jZJSvvMsWYr8NaqkeNePNVLmbFiYfDDzBa7cB36Quy
EXPk0AZdsR2nKi9IkzP4F5ULgofzoMos0vuyl2RApQW4Oz8MjR2RDjMovg3N4rJeOrG34zwF3au+
TaRL+xOO92M9LHTvrf5OdZIDcWkWsLN1CN2KW4uBwHZUjTWGFeX1MhJtadIY3hC19YdEUQip8zrU
5DXcIBK70gTFc6K8FuYy73CQn9reJheXfx+RU8BmeN6UBHXvsMVgOmy7mkE9O6zYNkDLmMlzQxQ8
jM/lriMkeG+vLUXyjwh/c2TvsT2Zt3pS6Rj1Gh6pyGovyQLZyUJ/djFRYllLDW8oOnEX6nEE687d
SgREKq9agBPtdUC3tyFeIbwS7ZpanGvaMYQqsUtzfdhmM4oWggRrf3QLZ0/v64yP5smyuos0MtND
J6ZPztih2Eus3stnwzpITG73rjtAksMuyIDq1Yph5w9h0ntjlN/rmjzZZk/kpaMfk6otqNyq/DK3
yUdX2+s8pkkJ9Z2s76Z5a1tSgzCchFjlZRWYpL35oZgx5459foFGqg3MqYWgaITuHjD7hqyiJ3em
BYl5HDJVqZ0WKyWUFDbNrndy+LoORyyX5R5pXXLdZdZFqvERosk2wX1weZ+1KN+1UhC5Vgi42XAF
LIwdJzC3h6htUH8MhkK7ADQwY0jVj4vG+pJn0+cxlHJvz/bXSpJ7i60OQoHej8FUTsoOe5/w7GJw
z33ObCdCCdqY5nri42WNPMTrmY14RXhbpUu1ZW67m5qEIZJl4jKMlUdJpMGGIK6vRlLrrIVSHpxh
aVlrEtQXaBD3rL/JMR7MMSAoqkQVghNJruBPJ9eNACOy2EX2aOz0vDY8YhW1ILLTx3FIBLHOzv2M
nKdjLgUPMHozFHLL8zIPd4oNbsOsLW0nKtvZamahHp2aTTWcDOx3rKq7FoW0D8lhMcoXepll/2Am
fUhkdATT2y3300jzpPYgwzjV+InuAeGWXso8I0XTwtNXOGcan+5IXmwM8Y+XjLao6Iw98Opk0Dy7
hiH9YEiUUQBU5rntnGgruorVO4NZVI8kiZZQJm4hJ9lW+6UaMDKXqP8Gcr88YpRoGcAez2kuYWGq
26Vt/yMj+V+V1xolLKXmvy+vd2xKk68/VNZ//pk/K2uybvgrKKyx3GCoRVDwr8oa9j4VrcU8HGm7
+k0P8ldlbbArVTUXwAsnoMKPoMb/s7LGxCMo3tkHojD5lp/zd3al79stLvU+rgCNDS7/yE74x7o6
QoO0OHUl+bhJSoA8c2mTM5p0L0wJ0BueS1tiu5TYet34w2bWOw0LikpMNw7VPMoSwoP09ey+U8yT
DLu4wzL1wciCsrVnWn9aouc+eIJi/91t+YWk5JeHclddjs2qAzDxx0O1RjpoWiF6yF/MonJdo97q
8DZjlmj8v38oLuWKWdC46e9bZ4vGaHbGKR58c+MDUW98lCSZ10+2PPz+UD9ui0BOrmAMfhMNOh4K
8T4VC5OSzHLBBXSTELfSrCPmlNbbNFg+63HKHoeVnL07ESho/j5olq2tuO+aZX8eHBHS+hSjzH7X
IuwZ2oVG3fekb5nWZs072Jaa2Vz8/if+fOMoxwiBcABN6mR/vTtKFzlGNzShDFo4m2wHdIaTGzE1
9rBN64Jhxu8P967vyY8Sq/1NRUAGLuMnmKagq2jEWg+5arYgnGftK1yNNxqdxUbLixOV0Z+ti3/r
bvn5MgodppmOR1ozNfV9RzeMs3R0jEoGqYpnuUQZys2C6PD737Veph9vFkdBTAURgCgNYayX+btX
zZShRpplJgMDpiV9deUCZ+x5hruJ9oI57O+P9qur+P3R3t001F1RE4lcBs4waozxcfEPDBrqNMPt
57o9EUzZy+8PqbOQ/vQLaVDAWsUAxwP5bimb48xyxpHXTostJg2VmX+KVCDmxDM7aI6izJcNIUyz
4zU5MA2rB6BeC2Mvo7YKBrhaWznp46Yd7fqPaTKUw4yMaaOHfXO3tIRj2hSXWgYx5vfnrf3i/hOo
ZwOLob/yM77V6SIGnT2vEVoSkGCmMmb2ZprEsFUUMDxJpzVeTWHhG1y9Lc5n80ldIA9IzamvbAyV
HuQ594ykOfrgXRC/PDXW5/UNR2743peXujnCK0KUMTHF6/5J+Lj/yIF3rB7AYtQ9TAkwGZUoEWD7
OSXJVKbtBc6NgaCxqUcOwNyFOQ6FHZGbGwMbgQ9NA/CkHs2nSOrtlW4tymHJxspvhr73yW2sEY+j
dZGMmT/1g0MPxUgarzUVewdll7wAo3W2aMiOPRvTzajk0iP1BbhGLk6xmT3I0emuiAExAHMvzA8N
KupR6c8VyOp9k5CQNJsEf04May7UeFYflbYZgrTMFI/C+y2bjdueUEf46FG275lOnfmby93v7/rP
Lwi6UQoD3nqGHD/J/eB5CinG9aZ38ZWSwd9OHPVACNO9XELs1RKb+P/hiAjUETfCU2K9+XEBcNtp
IMU+64M2DA+g1bY50W9uaV7QS0IT4Fqff3+8n9dteE2sNrTVV8Gf/k6f2kWgt7k3fZDOObh8yvZD
VI30i/V29n9/qJ8fU0dg3tVpRSJlpI3y40+LJMTAEW8rOJRBnEhj0A6wB+0PLuAvj0IjlDIF6wnX
8MejFDTvi37kAipWC6OjsV1lj93Fuf79j9F+Xsf4NczeUEpiG+Vz9ONxmDMvGq4YHF8M2nycVOnO
mgqsvl1ZIRHvbKxgPPggmrHFOY+tHgWVmSUfLUsGh/nxg7FqlBGJOhoJjYxGfjyNpqnMJRnsju1n
bm+ReuQ7vEH9zhzpiHqGuZgHrZzcbatWr3k12rdZn7IzE+pwWSyLccSDFn5wB9YYyp/PCbcqISyk
7P6kWY1MRSG12OgC8oDLg9qKratKFFtl31yFXY0gD6bHlxxzjJc3ynyWa7iqlZBF6zolndYyf81h
Yl9lzuQvy/gkcfx5TdLXd3MpISn3idiLKB6P5ZxfKWr/UXHx6x8AVwIenIFFn674D1/hUGvdYqad
ENAeuyWhqN7J0YweYlYxr27s1A87TaWFYfV8sdriiNXq2Unse9Sj7kHWBKWwux9oqFbuDd3M6t4x
l9dFhOXRcGJ3h4Nl9scsVfhW9OzxE9KzP3g6302xqI94LL77Be+eTpoSnHA1A70mIPGIGLo8gisr
SeRT/T5pWeQlQ6k0VQ9GBe+ko3P+wVNg/PIpcGGZoerQYai/e92dmbUED20XkALYw5lB1fFCWXVt
mx2jJleFLzNMj0wS4j9wc/dyiNgj68QJrElBQ9TtdJW2ewvydDPiYiNMQpe1F3PAYBJkoSAl0l7n
UtNYKu07ohO2Qk3xcCruIzK/dq8NQr1QhJbvl6p6tgf1zpo5EJxBHFVYNT/Crf9cuhFJr2omYWuM
aH6afQgsClmYsiA0af5YhoFNNpCvLOjdqkUYH9SJv1i2GeYwn6Su5y9+z4nr8swqWxadoI7KNxcr
PF9teKyEuXwkQF93XO8WGI60ggyg+qH0f1cjEhcvSW4XPEltdJ8RbIYmeVkHhzO7CTEDzN6oluIc
wcjFHzxCv/j6QvLXYVCAoGBgtJ7ad8VwHyWNHqYq41J7/oIP/5p4l1s0PG+53b+w5bX8D96a9a34
6bcKRskaoc9M2t69NTBbuylJeGTZhpe3EOGu9Jmm8VzGg2cMyyv+s3uauWTWzTXFjemgHemidiUY
f/DTf/kwMQrny8IAl7Hdjz89gewj4oH3F5Vk76s1TUkTA/FGSYDYijh9+/0v/8VH08JBy20m+BOO
17ubbLlpFjHz4SbP7RRENSlsi3TiD/aI32r799dXo5PBk8TlNd97C9JOiyrNrLuAPXLrQbuN/aEk
Q9sKHeUw4gUH4WfSs5+bfDuGzC3oBuTbaVBOy0LA5+9/88+bciAP7ArZlENNEe9nleMsxRJ3GScz
9Oo2jmwMX+1yCeon8qJCU7y6K8oA0TQ9xoy4qN8fXfvVG0w1xMWmbnfM989aD0xVN2g0B7Nmxi+1
3a5ztzbqz+iEBb59q7Isj/hCggWVeRVa4iQivxgNAel+RWPHGfOHebwcYgMNmt73krFbhML39+f5
i9NEZGPhdVHRDtnvpTax4iQz2YBNYE1huwNMNGzNrnEZA5I397cPhcWQoTKqciA273s/zA27usEx
GvRLWLyZJBTdLGVMcpJiqf+Hn7XaaVCSrC21n1a1epVYk7PVBEIn0cBl4A5h0w5PabvO5//VaLz+
59P9PbzmF4sYR6ItQokIE+O9P4VMnSitJEdirBP5YV/Wd0XUgAVTO0AOU2GSzhPPHywfv7hrxH5a
tFrw16FQfPc+R5FaQrUQTYDZd/AKMaG9TQtmMyrMw9//PmQ7P6+aVBqEmhD76ZCW8m7VdDKzktGi
8YiYgOJ2zJF66CyxOS4+TuYSblvb6b5FTY4U3xhGwNh9K6ftgg28uEHxzctFJNriHojVyD/p9YDq
FUG3I6F7gQdDat/EzxUMi0uYhAISeZzjrOgYGhP0w08yPHsNe/DdQYxkx0GRmU9Cid0gwYAMRBxZ
ZwrWLyZuQ+qoWXOTGMddqhWkYxpuHeufof8lBZlGNEugQbODiU8TeoPQb5OsjR+6vNLmFVroigBH
fcE4Xq21Y7HgIQ06mQ3dlShK6VyaPYkBN8RX5eWO/66M2JVbZPIbaZJP5pfZYEaXjk0gmL/OJNMd
Ksz8blBcKzy2pVLtkbXDNpojDD9YQJJPuNoME/MrUJSDHYEw9RxZweBE5zpH26IGLHGRDmwnMfu4
9ZgHXUcaFlIDMU8+4SGheiIZKVTpO4CH9uuCrK7NkBAE/2zjBUYOgavAWxyzau/glhFEh506na9H
UhLuysRs+y1WDNe+VSu4rkzshkgeKGKnXeNMbrIzywgMCHqnZfEwkbikcPOJ2ubh2v5TFdi6jFaE
85DGTe6BkSU3tDPjQdukdS32hSNv6PPuJKSXx7DW888k56m3fYnhNyzSCd9Kmm+Nxj3LfM3L7nZT
bJe3oU0T1YzhGgAqCADaEpXsZuhF5HCEwTx6et09pxnDfJJgAfWmk7GDU/DVJOl7O+DX5hxaO7C6
Ud0SU2cFZFVVMN/NZQM+Ljp1Zj292D32C1POKYrU4XlpLEFsAjCQYZqhhuafUNxscSE118ItWub8
ZXKNCGvxGDtqJ6fI40toIwjDbSAwhMZ9mhh8BULRbpIEMSJj9/AAazgjqzKTFBUd8QR8JRiG28tN
lk+kpZg9AodZ8B/ZOaO7NI0mwSrTpPt4X5rtxMh8k8bhAJIrK06jEeNVSJxrMl1uIQBMW2104t2y
tIs3K730Qx2180LpehtGef1UOp16UcY2fkI8Pf6k9u0biSElulpYQQ4N68CuKnFocxf1Pui9g6Em
+qHDgbClSXHUgWYhj9d2mZg/F7AGPmPg2tvCvEvk/BneA6M/1aVRJ8PPhaVELW9g4RwGaZe7QYGf
DHbkHh3dCj4EUWtFlbNVU0CQEOKZ9KXkYsfsG26TVhmum6h1bjsJ13M0uoueJB8YuiAqZqV87RoM
TI7RJ3sSWsG5FM7wZna9hLsykrXtZwNBFzM4HqIdDLbmutoCkqgIY7vPKieG+crD84inz5h8u2Ef
wceURSKN5Pil5tpfNSNPGRmC5cbJtIMqI6ThVV8RsLA4J/4Bqi8vxDYEvD93F/gcorH7Msetjcsf
VwY6GX+BH/RF0YwdbF/QKoCmxzqwFb36Y7JBfe6NLNelT8ajDSC30iDNKsReppvMRgSyyedBKEfa
syoJalUDy6LlSm36rMz9xSmG+5iu/rWep/p9WJRZchhTq90KIDJX2kjYAtPLcdlADZwITunUF1Jb
qCfp79bk/aj5iYyA9o+eaSaynDkCbkXohHExTR2s5SEL31ya+9KjCijYfCMw9JfZmR6YMxVvbb3S
T+ei056gerQ+WzRxdkvsdWBGsC/F3Rz0VCz3zmymX4aOv2dWcjQ+PaztpWI/nUw4SUFigfVFY6NA
34HlCYeJJyE23OZzDCzoD5iu2S6blOaz3ejJPkXfCM8SzsaOPNruEQUVqCO7GsF+hoJcH7l0vBzf
IJiZCiUysgDMphRcB+gaZO7QQkbe37vtLmPfVJD3hpVx0yfR8GkFRcNzEQlhLG40hgn+MpMYhILR
4KEu43x9BpXxGLlpfIdalNhWG1bEruNyKp+ggPAT7RVXdyLShFMlTuLTgEdovIxCmI+Jg+muUiE6
Vz00UDPGKA0lIgm+4ZmHXoePSiXSHK06js/AFYCiMpjc0jgT5wj9urUtq2LZLRII6FhNZhGAzYvO
5BYNNrKwWJx5iYDRh9xdmvBrtIUL6jSO65cWSPeNubTafZdwvZM0m4MFEkbgxFxU0m7nk8KjeVOL
tn7BArcyaa2FLOCsAWHJlU32YoL0ainYWrQWmGWtYRdahg5mLzmWn4eY67rYNphlDYkCitaYywrB
ApIp3YhAun331R07cTaXRkFVULnReUIDi8nRKor5K0Ac05n4Ao8GGHZc7CH2OD7Lq+wjjTyFsBti
ZssVqu1IuaYjVKp2X2uzOCeiCh9qK44wBsnqyYqszO9lvKz5P0uoITikiBTSWJn+DkEMrUquA/Sh
U1vw40lfn0huAkFLNGeyN2r+dK0q0Vm6jQXw1hFU4CUS/LNpNPmhzVacTe/SxPGTjIgACNf8C9/i
k6JozHsfx0glNwvvOW0s2NjzTNPasQc4y5EpvDCc0VO0/fqUy7gmzBZKzl1SQBw1qx768VhxkrlQ
s1unb+tnI43Bq7sL2ek1UUvn2SpgjnZIkj/nzTJdO1YHPHvFHyfr7UYM5VyIFPpvs3KAtQwOqWvb
yCUoMuKz2XHVcLLMCECU+U1dKkDDE/iZDU378BZeDqFZagzb2hj5G6slu6Vknx6QmHZflxEu0BGr
YBdvlSKe3+yaNp8XSsDuG/otXbvBizCW5E9VwJPIGigwJyogU82YLdemll0zH4oBIRS/nSdpUZqW
pdcyedJYs+JznqWVRpTGUl0rRkoTd5hz7rWK7GvA1QFh23O7/q1yFPZMOFpSbDUjxhcSRj59g08P
Y6e9WkMKzI1Xr7lhtVjeKj2tW8/SyzkjLEbIV3gi4FdDICp7pa65LBZf8i5QSWNrNxYl7/2i58qt
26usZrY1vE6109zAGafx3xAYhb4R524aNjda70RnAnWgrrqr+Xk1lLOOrTwSFK6HUon6xyZJSvWm
JfSVNb7KCnGoQC69UVHbl+yJw12NXY1FDJgFfdPekAyEDedp6Zz+KizqKBjyHGupVXBr+GxeGK2Z
EZFsR8m1ZXb1Dnhh99DWA4igJX7D1cr/1NV17YdDbbwINxI7s8aRWZuAnHRjKj0xGFagAeveMNE0
/axveQ8hos23WgHMgCJkRBCW4srOI9PLleoOyfglAdqrD1xF/9S3rT/CY7tCJXlUZTwc06JuOWxm
ndURoBGwLtYNYyHPQ02Uy8lS6nNJlMcdKfLVwZ0SibYvKRbCYxg2NpAQDiLpj8M8EyrPu3mpRmN7
UUZ2eYzict5Q6lMCYhBGzRo9uwJWVmaX021WDcbXITePTaJqLGmgPReDIKjS0la9j3nCX20+Um+T
GqRO1Ys7rnOmqt/FdJYPkKZtpmUxBelAOvSjQ7T7rQp5eWdjcLGqvPFBdeOyT5pq74zLM/2/4ktW
2MsKiOMi6XhXWejZ4Xj2PJuIirKsO2SKapA3rMAdLcx61wFuOsVEVvlUqOO16WRqYKRpdycbxWKp
c6Nb2XEQKUL7WsL32dCYJvjEDs1nmF3WJ6ht+T5J7E8TJoSAdimgX5VSblMkc7WpMMVdooEOvUrT
D6GxaC94osYdQAE16HVt8Z1EGv5IFiHd3rjfjBmtwmierRPFhfmYmiIoxVTteJ1YgCus15vIwgbo
5q77NpDn94geVrtyC3dBtVCY93U8pbADEIYK1q5TEXYEwKPTvZkH7pIYcH3tbOrCTdu3IEunqX5d
GDURcxX1yVWT8hgkZU5qEhFBNctajWXbLNLOI2OxhTKHT3jpdU/aFgW9GaXP6Txlx2gs933WIJMU
pnJRzel0Qy7AI+byYseruIP8g/qOqR4FmS2vClOEDzCVKDOIZ8Ypr6ab2umTW0dtFz8rDOfUzQmr
lxoT1QMUOzNacS5qpIBejAqPoUW+HOa5Gi4tofDZKcC48MJZ5bGOphSSnBFj1MOPxHvXlmxLc2X1
7DNDGy7dsE8/F/BpAqHRgKe1hlMWoRgtDZko4BdI3b6YaWazq7MH1GOyTTOw8Il6i/r/2Kb2tA+H
VfHbZZfYO6pTV6Iu7swKrxsDnk05dj3OkHTeIGLba1gSP7vMTNnnPLdVuTL3xOI1Ndk9AEFjwuWG
XvsM5aw9VLr9oi3Wa0iqyhMVa/6Ud3As065THrDFKjtjkNG2t2VxM1tULDmBFwy93X71eEJopBya
9oDVBjyQJIiZ/mCrnb23iUXkG0N231khQgtZ+2xXZ9o3lbrRnRRshcxzFqFKQw5dwM2+0RunuLES
+sibZGYBTeOx/5p3uvpCelT8tQnVZU1C4y9sUAEc0YZWd7OpO+PnloqH+5awyYEQlfOVUCzjkNf4
gxeXkAe+lvTOFggVkqY//1cVrkbcMmNnipjSPEYrEKLAkfG1kx1NhG6WxVsGtgFu/dKHT2qXai/Z
NzRVZaKk7ciXf9Kzlk24GSYKyVhL2H1VRE14pI5nx94umSBJvJlYGLoY9S5S2n6odqY70tHAxcPj
EeuSAqcqwTnGlgTo50ZV+CRIhEVQXk8Yje3UzYRvliqPUWmgefWHjrMEUYZcyi9RadlsYiYOmmL5
7E7JInr2jWo5aLE3okKMdhSv/M2oKaHUmSPtRz8mXFsJlHktAXompKAHJnAVaaya2DLbgqI1Dy3u
krLwqfPySYZPQzvEBEDIBBswXMHiTZeSo8rGAIQxmob79M+LKQYlkhuD8WTiLZ2KMs0GwVPhyLWq
gETeyDMQWWaIStemANjM8k6gHyuDPElp96AsSNhgZlO2rzW6QGe9AaGyI6pBnOa2r+7EiKKCW8i8
1RvDht+X2YJ+SFurWXrqUDEMQTEj/Lh0h354Gyx6o9gagMdeWooW32fzoAelBPZYAP29yWyXOPca
cNE93LJu3k+04cOzKfnRe31QOUeqcs46KUNunjVPpcL8ryKelHvCu0vvP4bdgsoT768CEohFgriE
hN1LsuFk3Yu5G7rXBI5oHriyhS8o3YKQdjgV+uTlGIKpd7mdJI/Q/zuOAJtJHq16KjoRm3V6UK2W
JkrLbCVlcUlEy6uOG4g/q/D98nDBhkhNHYmsSl9AS5/jwcDTsZaQuV3q/SZHG/igpcSqNnmlHplJ
t3tMHcZNETnTBVqm5NOyxOPDqJNz8K0f+B9j5AfGSBrXGp3Rf7WG/ef++b/+qV69ei5e/+e/D1+f
4x9skX/+ib98kRpiUjSeqDyBbFs8c/9SoAIP/Ae8BE0gDKMRT7P3B2cXCcygKFa+2Xc8eFPDFUnj
l5JIwNkB8vi39KfmuzY2YhQUrpwWI33kb8AufxxIZVrYECYQWlc8ocqB0LOpOZVUO+yjoXpShm4g
W2YG2iKC3fI7AmiE+4Je8DVm+nln2pkhPK0y7gFfT4+4BpITcxGsB8AB+XTWpYVAnMR4t/IVY5n7
WwoFMI9xNI7Ng0rclrIBnJobxSlzky4YhjxNrzDtu80GCoSzYzNSHopwphVM5odXzFrkl0VughR2
xI6era5vU1feAAtYPfXqGF7kRl1fdCjjg9kaGgxf7fgVhOmTWfTOVxNXCxzSyg7UmiydtshUzxSF
xfajezbaFFMKTR+ag7bexqdlJv9arStzx41SrsoUEb9v28MuVh0NX0rr6tHQ0haQWjHsRJfTndKT
MT0rcaw/woJfZby1j66oJiYyVm9nRCS3vcT+xGzqMScD9GES03xGwr+iNN3HaXKs7aDOXmgMxY2Z
Ks3elK1+1RZFe5COEXrYPZKLYqjGA4lTyaWr5M9u3wh2muxfsOpkp6bI3ADow/DSZXZ4mEM4Slmp
5eAx0fIvqQNeCvVlQ6pmW+1dPXklv6slnzKZPgvNGUF9JeA8GmDBbMBy50nXJUN4O425NtVjkRSP
jcKhy6Zm0hGPAzNcRWwNg8hHlDCgyGu7gGdF0vKasTQIbWMkbnFnL/AsNlRk9WF9Ih+aobN2VLZ8
l0OZZ3t0AE2CLcVGulsNtk+S6oBhhN3MzMBgGuXGwjtxa2Zadj3P3XIOR5K+sDs1F7GhA/5N1Elw
FHwz7InNwExzGuGAtpO7kWzmC0Fb/QLkj3GJPAtVTxyO12PbtLuy66Y/esfMydZTYSDITKnfXNre
ZIOOphYUdjpekCeb7CdR0qYMHdrKkzVGXwluROuytrwRrZbwSJipn7TapXZMelsFAksKkNW6ZJu0
JLWSPWcNhEw7bOqNaUY7wzdXp1eVNTN7Lzvx9SgeiGolGipTChJZK+gJJ9gpU7rpa+LLvKGp2p07
wr9sOCm7sepjt8zdA2qWkpBZqP1vlcTh4Ti5SyoV9hNseV+thWBVolZTkGbE0dAOUADNT6R1eQZd
qp2dQuZBmZpt/h97Z7IcuZFt23954weZOzoHBm8SiJbBLthlM4ExMyX0fefA178FplSVyVslle64
TCaVWRnJiEAA7sfP2XvtsVXnOqTpDXs63ucIir6Mrsz32DjdrwRXLleLLkaiFMfYPUzrcLOV/fQR
+Lx1b2ShYmbuhfuB9IYoKLNpPpOAa4OV8MLqyoNfXW/hwca7mYHNPU3lardg4SC/Hg0LpHb60BRi
UD0c5+ARKPZC36uis14ySUvDlVHhR8nZqDlAOQDiSE7z+Ujw5hE1mhDz0e5MtKfacQbKMmJA6sN5
l0ze8jzqBuvj1Mh97AC9if2Zr6S3w5vYK9t7l9BcGXrtU5IZ7oNvDce2tJa7aRCEaGl1xbwBswyO
JX1KwmLitOhW9wzeDJrxEl8f+L75Mevy+qboRvPJNEHKcmRttoabUZJN7XTy5iQOT6Xw1aNOGzPw
qy6wdC1uCmXsRFlNl8hu2us5rdOAxVPccrAsCTsr4wAQocWi0PjbyJrEaWnkNzk5sKbspjwxCDRP
RTe4m0R2RcCZi/AdvuQDUdbxNkzqJ0PV+ERn0+ofFz+efy1ETXaOoebjnBb2Rc1NARhVxpCQLDMO
ZOJkBzqp9TYJWciFufTnJB70c5kLe09UexS43ujeCOqnTVWxEPlotrYhzYtPViXiIwy0PCD2FXGa
3c8GMCPH/cQmSFyR7xu/yrQxNnqKrQCF7/BbCtUGMFdSPXQNduFVsNRXjXiNliLaES9PWDOEXZTM
He61monhJ7LZ++u2yB+6qiIy3HfLwGrb+kw7o79fSqfaT6QQ3guZ+Hdd3JIr3A9kDttY1w6FjTGQ
Lom3hec/bgcV27/C5h93k9Jfhxw9SMaamW/CbIqDlqPhdWzYDQGlzvShZjAWAMhaHlA6+9veqtxP
iCl4Niy3ZuyB94/Abn0D9MxgwcJUR7/d/pzlIwdX1SS3MizLwyIq+ToVkY25cHkOcc8GJoTBozO6
NTHERki7MJGaLuXinQo/f1iEPK1jfMjy0Il2mZj5gks4j1uVjJcJJMYHQztoKoYCK51bxvdp3s3l
xmii6QW/XnPlW426imBleKyg+NhYN2kW9OK6A/nysCzDPTAy+jQ5MwM6u1ngcO89paRFrcOJDY8E
7DJf0jZcovgEku4hm31utamt8OVaYRQwLvSOiXYHQqwArjMOKALhhdcU+NmhoocJKyz1sMXRXppq
Wl08ULjXCvqTGN1ILNY5gy8vLK4jp2X5nsLpNU5EfSD11z3TiFZfpcrzL5gXjVunay+dhXeO8eaz
mG3kxgR7X08TydNAn5aDN6hh1zhqfIarPFzR1XlNl7Q/xSlakCZLVr35nB2HZfUEQgvurhKTXHI7
iWyQWGV1v6zDBAYwzoiU7kIrzfxE43O65mA/xpx0wvEDZEbjmC+jc13USXplJs6+svCiI/m5Y0L5
oo3J3gjmhbuktEJoa2P+BNGyPgx0qe9oVchAdzWDoyb81csilsAojg9e53OEIDT42CHovo5tezrX
JMN8HH2Sl1UHE6he6FuB2lh+Y8T8FBdlCUw+VY9ZyFvoZdYHvD8aB6l1M7Kq7upYfg47+tFFZTN4
qKvrHH0JPTt9PYfSfs6brLxq6M/vbKMdDyjMfYIEs/BzO8wa9WnSftZG6W6gf/u7ajTHk5owPGLE
+zxJ1hXM43IfTSsDOip2+RC/ElU7E02JeF556XLl+0yjsygnuv2sKqTKCCOK8dbOUTyh+qMfI1T+
nMIOeqSoys5l47HVO5JZIIF3XnpXVb08IAevb+lX7gvXqg+eFu0NswRG79oxDnFqF3sRm9G1YtC7
a810OEZhmtBFZmR23zi1PkFIk3vtDRC/0pRwOnv63EnWWqY8Tn2YJrnc1ZNKg8whW75a2nLveJN+
xV3skSnZMG8Is851wG1FTblxV2O+Uy36awlg7LOL1lJQ5r4WkU9Usxn9VgxFs08LskGDuTRakkSE
FxRpZhzJQINCSBRMkWK/zcqbWptZYGW2yzCoaOKAruM3erAmvYJlYkuDbrRxfLCcWZbeUfcGPbHM
+4kD9l6ENTvoFEItZx0I2IRrgmE8QbKjIRhLeM6mn3Niy3sU/oBDoh16iJYs6oGAjTy7OEwprU0n
Zn0Ow46jZmlySuWr/owGMToSxhruVDng0Y3wP1+1NFSCKDa6bUNmOJ56FaqPTQzmbC8HTJDJIi6q
ZkPaTHOUMqTs5Vddq/wOQQULwkhevRVm5j4sIabJR0+HQ4olYfTi6msyFJhRN0WZ+8WT0nGW2Veh
4yXZmaB0v3qa5pGrRlNHG7BM/JJKeZO2zGotBqlSjUHJ0XvLcBS2H3kz5RaOVAqPIpr1r0SaxN8m
n3dIjeB85Heqz2QehfvZHGtCX0PdbkAMk47eecnVMHrNTVPz05j/q08WT56Vze2eV0Sp4vvwAiJG
7gleiWoT1br81oZC3lSJ9k4ELC08wV013KrBfVoYz22a1nG/2XndhZtFLfUZt8S0cxa/fWiLxsID
DpbCKOriIqYYLzDC3WhTxdNwtPPeW1cDMuoaDNiVTQljTl2xiaIkO7otBn56euZZlB1dRQHELaG3
vPPyWG8ddy4skF68nsjqCqvIaH/oaB9pVAugOjaQGYkaIt87EFy5hwkFTpDk/fwJ9tJdlGJn2Yjc
14+aDvZ2BF+JhXhYxA00MDNI+67btla+5oI5njvQR6q9O49dOEVIQfYMkkBq5A7a3ZUu0vQp8nLS
xNYkxNbvxtu5XKLHwlk6kGdc7JAsvYMBei7aOETE3xrhOLU004DouqSnnOa0ax7DsBA9kRn86LD4
zikDEv3QRz4ChEY2L23cyo+SSc7HsopewkKJa9uka0YTRxAEbNYM48CoIlgexVn5Rf3IVLNbQ3zr
Ut3QxLMvZdy8qqWlW1wvmpRLIxZknaB2SIJkiaDJCXppd1k+5x9SUafPXjqFB8/0yb6ZB2keOAr1
z1k7wDlFEwAB1kZzUkT1lndU7tM25SHU5N1uWrd3ZnB6zIVwfjfmFm/P9GWh6qPiN4hHbSs93zcE
goMJ9PPkoY2Yo4hmYfbK9IsEUs+QO1MhrZrIzjzFy5JeoytNToXlq1v6vBxgtcvNJIwvuVctz3Fk
h84GVRkfzppZNISTzR/IraRvKMdJBEuqljtjrpZtjtCdycKYPxBZRPTuwn3VLohWZCOQnL+xbal8
gyTxq2OZhpKxCPpPzp9rISud9tqxKK6Ziq3dziXa+TNwF3qvKNVIKO0nr7iTWdpZiBKgkN00kl2A
kTFU/mCI3U5MjADc5Zsxl2K6l76RHt0Y/19Sjsb8oSfnVz8tk0GsOPAlDrw9U5XOUgThDspU9ca3
Wj2duSSth0QiasjatTpZDdnm/5L+2cV2b+hbUpUOoaGapzwv9MsP7Z9/oQx8nzovPGA8Agi9oiqj
u/NedVs3ekpzS063ePycreGb8Ubi2Fe6ILyJFKnos1lYhzE1r6zM2Rt2u3diufNUeFMPC7STfsdH
PfhLyoA+Ofz5m3unIPz+3lwsnYi+8eu895QVcmwgF5rTbV23t6qmVgyPhEj//RdBML+GFhLDrt5f
AAcIFofecbpNTBx0/Osa+b5U1f7tZf7bkvyLliSxjX+ernDX/hpV5U+8qe+/8o+epPsL3HkfTaev
rFUf/s+e5Gpwd9G1eg5UJ8FP/bMr6f6Cy8vn99AMc2P/wGp760r69uoNwrcBj+pvsdrwL/8sPcUT
gI5cOSZ+F8thDXrflewGPImDn9ynZNAiJLdQKTBwjBhA+2Ft2xfbbRjpV2T1gq75HlwFacINMlr7
k74F9iPBPeC43XR9kvXWQ+zl6JM+OHBZaPm5GUtvTaAV1di6yvR5I75xLp5YfBTxU17AeXjtKQyy
YiOo4EZ446HybbSZBNlercmwv1kIVqqN3zXeF2NdFbXrRVcqW4+LVbQwn1b5AzVkeIgWllVgcpwM
OHxQqVjugAzApPvIHKtuGelYNvM5FmtvXbWLdf0u15XcXdf0ZF3d9brOK/jOn6m+zZ0tavBObenG
D+3bNtGtO8aIe9HforJBuWjVfOINUojewyya11sIzfG5CckZHpMo6KPJ/ZKsG1aHYCO9dZg8bakM
1B0uIra6OdGQcHJ3Jm4YkRHVr6/9kVKxT+ZH5fQQqvkm5o/hXHHUFP6ILk+H0aOyIaVsIAxhep95
+6fEDWmkTlp/BAYqHcTEWpwiMqZ3vpt1ZSAIipJ7hdMzAvJi1R8Yp+IXiBomxkxPiyujK8UqQPEw
mBXhQpmRTYq5FGrfZpMuibnudXG3bFOn61oS6zGV9MPcuPd8ElNwOhoLvfXXoigRAwFVa6FEby3+
Ta0VVLzWUl1iD/spstyt0yTDdqhidWkWQm0gmGfR1pz76kL6dXs1V6BiRNHIi7FWceVYQAe2Iesx
JabKm2pfbvVb9fdWCMZzVTC0imasKfumNOprG1rgfCPKQaj6ygST79WBT1fRg31CN4YB7BiX9b2d
NXF1QgYrOUVaaIJLtErghzYc8qEch/RzaZWW0vMoVhg82NsCsIl1GTqOkZtFjuoR1HAybZWh/foF
CLNq4OB0gtoYUfKmFWyp9J+06rauGXXV1cqvAtxMEts3XAikK6e5wgmde3NhXI8OTP4gZO542+Ec
uB7LPsaMX06vlGsIhbNugu1GtTefdDSDzQUlVCLwz921H0TfjD6z4AC26eXMyXdaIqM/irZQ+zJK
kvtEE+4RxM2Inrtqw4InO2Q73Fj1nPRbRsPDROunHsfrZUmGZoswwwqqmG9zWxPtJylhjRaRr4HK
9x52fdIFLQcwdaOXYrrNO0cc2kwNoNysaOaOswlHShWRG7mhklsDPBBN1zDMY46dzOi2NL2nj2bS
Veh+dAPzUXQPcDLS5eIPxlcD1x3PFLNrTXRTOju3fWV1iBsb1GKIlefqow4RF268eYifFtKwAQuF
dVse+D9prPtG2fdHVqL5EQEio1zM3z2I5zw33UPOMZbc5zS0cPDV7W90T5+dAb6ylTjd8kiDd6yP
E5r3itwItOBebciz1XXiZglT80JCOs9jaPtpsUujtZQi3XqTzU16WLTlXaWGN9PamIhUvNZyInnE
6splyytlB3q03WpLDqnt+K6qfVRTgpiLbV2MmvTxvTXE+RZPkXmuXI7ZlpeSPWVwmoi3dqzR6y12
shUWdA80rCg7vrSopF9T0RvPVpuPnzqhx3ZHHrnNs2brcQsM2NoV0jX6EzA9tEjWkHY7N8Z7deYH
7IGY0RrmrWO6NYci11ug3tqdwSEhmG3OX9DH5twGugSYLDChkXGAcNuIpIIRKh76M2YBYV9MUb+p
nGKwbwjvG4hDK8P8Sc6R9YKA9oPNLYwku9PoGvxSmEfae+pC6r3cRvSPt72JHkn5pRI70r/NXW4Q
8k1beNIPJZ2V27wwB1DwrSrkDS2x6mbpYUIdvKayPja9/ohEhqY/RFHUxzIh1CoYR9FDCh9TTajb
mhC3zLJ7gKuMQIaGqo4u2GTDFj6Ync/LfCys76GJ9luEYtOxatwiNJL/raf+I8zQOvmkAvr3I97H
aviXFM/ff/H3qgqKJ2wbCUeClCmOKOvU9keKJ8Y4XMdUSUCHKHj+mPWC6rRB6uNq9xENKgp29oc+
/n//xzZ/IQ0JmySZRMCmJb/0N6K/wc++K6owYcFyERLrkG+CRFpHwT/YLn0BOisMG+Ns23K8UP+R
0QBu7lTkS7ZjhtltBXzrByt3abdjP9/JcfZPnvTIBciq6WlmB2Sp4dmTTe+B1BQjMss0LQPC94Dd
0HreZX30ENXW0c7AT4R2mwe2Xb5MQ3aPJAF9DhGxxOatByI31QFPj0/UZEmDzc54dhs7Nx/7EmZu
XZsqoLVT3NrT2D1RDHGAVL29pXOVfxMG1YZnPfPA/AYCp8HtMlxmYrkf0sp1Ds3k2EheaYg/JOky
XIGPbM6zisd+oxmOHkaUi9s0L+mATq46FZFmsUyX/spuQ7KCu8HiSFutcjgu523rGqbeTPYcbkfE
bkg5dWPFCA7L+biIVuxEbaM7cRrnWrTekVX8oRZSbazelzdFJs94LIptqn2miR7LRxZnAH0bpmQI
UEH0+gzBvBJpahNl2LmmJogQqwV8WcV5IYhkrxxDUXGmxBZWITodG9+6NiMN+azk+Em3XmOZyZfH
ximb7TTHL/4szeepcNyTttX4qZSVuYk75kditqrwtm5nU+zyKk5aP2CUK8V5LJEWPpatlWUDAzMk
uMQ5aon/tcoHY9kPCNEoPsqqWwLgiva4YarXwK5n/3torNK79SNfGFDhGnKO23lspkNhdkQxKUcf
GAeXJfMpW93pokQEoHrRU2IiM+433tJZxKBHAJdVRtJ1KnWS7YxsMbIN8MwCMwxglltjpjg0tkah
NQBaNqwFzFr1O3UNwwf6ig1/aEWy1d8BbSos+xXXtqLb2u8YN7+rkpXqhvyIbgz64aw4lE3lIbS3
1EJ2zB7yuhiWg73Ubf/gd7M5u8+TGDrxaIwzBf7O8NO88MF24qs197QBPE20R+ZWjtA3U0KkfbOH
t4dKT+ZCfqi8Wl8m3SzkBadlY66DVPj5mRFRjkog8oExdMQdJfNovMSZk2TsuKqY2S8KfZNJIRib
+M03Z4ka9mmM0w9lHhs1gRlOQ35wVscvoVNmxa3BwAZ1NTv13TJOLsE9hpqIq6aQZK5NJu7VnMr4
iETNIAISfEUwecP82JJ6GEEkapFvJDm+Lqdxrc9NbJtbIhuju4a0hDsk0N4O/1AdED9RTgfeAAWH
6Jwdnkex04gpj8lM3erSlHuhZtLDRjUS45VN7y7fYHVoT2aahqfYc0PiYhQuAafrFbVxr52tNGSP
lkCWiq8cFOgmdax+pjMVm9AWuv5hGFV533jIpVVjb2IYAHd+OkZPYV7rc53XpgO8MFo+/bfBUPZJ
P/9Fg8ECesc+9O83xKdfSwxY3a+//thj+P23ft8NPfmLiyoY4vv3Te33ndAXv7AmYY0GPEe3gP/+
Yye03F9cj/ras00BiWvd7/7YCi37FzbItfMAQw74CA7zv7EV2m9Z8D8Y1sHeAcUB8AfOgV4FML+f
t0I1t0RbTE55MsaMKdAB8TupxLvQmJBF9AXqHjYoZU7XvTnPQYGxYcuY3zqoKFTHprCxhDhhV+xW
hsxt19juk85EtoN1Um6jyIVBMbVUtpGrP7JeNc12Rkb56kelPJm1yIPBdyaU6REN/FB9G8q6PyGu
jg5OUkKaITgukGEWg/eFhDaPgkkawAhSpHyNAjtuiiAvPZS1KUcNu26817LtitPAwrgXibsfOpLD
RD+KYEyT6A6lkncsSSt/Mgm8xXDe2eSR0JSpPqJbbw7maCxX3Zj77POm637h6FUj9SnqvKGqjaKb
qp3pa6e9d00ku3hAzmBuy1xdxkH6NyIFoOwVUfSZ4A203VY2Hhc1YC5KGuI4sHkcWlbi45SAOWqt
+VLVFXNaMpYIJ2cnXIZR3pXKv4rKjImazu4ND1WYotG8kfPk7XJOp5sha5zHVliYDxtbBGKx7Ws/
1d1p6BbjCNdfXtlZbFzlHSqozGw4TXK42HapqG4aN1bxrsFVkm6maXiSxBXtTCTt11FYOAdIpcXe
bNCxiaVbLvVodjcqMcIN2vgn0D/665wN7q6b0D+FKusuCzgQBlxuvnfhYG2NWs8PdpKqL0Oog7qc
P4sCKZusrfSImt88UPyFL6OXVHsWQPcbx/hsvhlmM71BfJtxwq51HGjdFzvGxeM2YYB37Ny23RPB
lGxn6HzY1hxzrR7QrBBE98Vry+m3aJr9/bIyl4MGe+CO54a+2DyhdEJE8hwPkgmFruZXw0XVxOzd
ETdGlY1nnAOgD+h2xZvEh8FYo0fagEBFFbNkAD+EW97hnqtuyOJ4jrVR9xvDspsjDuXsoqvGuPJo
39yZRUv4TZO42Apym5NLIo1CHQdjSOY95mgCg3w27gzihJ6uOP3s09LkILTo1tojh/UCUzY01xht
Fcd58MiEZ6wTbUybIysSGEjR+G5Hk/gasoU7iUhFm0txjzno6Dt09uKhbG5a13zFyaHC64ZxVHyu
Zf7BTVr1UFQOHX5PGqcuGezQPOS9ldLQGP2p9L8uNqL0XRTOC5ul7u7RC3oFPC7Cpq7tkkmR1w/P
jI2t+9ZDEjHsICI/QX9Kd347yF2Ul/4VKkITcSP+CPRpdEEeasTbKYE9mKnBqFPMPJuYjzOGcSKj
YbItXVURE8fErDNo8qVIBVgoue7FWC/70E1Ll4iVKBSflriZ+kCAyr1tZlWoD9QZZsPMllTlC9in
IfyGKaILnGTxN6xw7Ii2Ye/EUD1y5zrZxgPlPqEYsSVO5HFNyhG9n35RRjgbR68cyRR3KoQAm8ob
BpTob9mEoY45Ik9R4b+8xWZmcCO4UwSiSxjBvRg3hDPr+7JX9rfZJn/5YIaadgQKIoWi0UioHnpJ
O3ZXOhkvuZBJRqtNY0oDA0C/CYUUUnkxYYtk7eO43Wd0XTamj05jW6A6xFiDv7S6U95sVi5TtSa2
+nOWT47YVtUIFllpFe2wsLl3UDb13iGPeydEDiOndbjGgYv44YkIXvNM3Y5lLavahulW4U+HFFbo
DUZOzEUJhn9gAeHWyXLUaeZgqQMTvPiAJ9w7VGhg7kszv14iWuhIo5zqWsdOfA7rWu2rqbdjlNie
WtsMCaz4oRzoeKSueeWp9uAYJVQCr6fMlJGb7NoICugecZ94VHmd7lyzg+puTY7BWKQsb1U8VA/e
qNzb3m3GTw521nlDdPt5Jshvkzet3Gbajg592y/dBrUOhPgCzd/XZm6+sEe1t0jW3f2k1r7NmFAv
mqIRj5Abwj25nt4ziQ3dxaZ3wOZQ5qc8Ut0dJlXCrFCdX42Mg74uHFnvkYNsO0W6OUtneMQCIj5m
SibbDqXdp1E2SP/70KyPqdPoMyap5Qb6icf0VeOpnOb0c2xa8sppKsQdkd73RgnhoBdLGvQwPalV
R0Qm+K2Xe3pIKfmW/qHLy/oZkFYP7XEcDpLh6MEZC4fGroTpvXQ06iYOKnfK9p1022rTOycWS7zP
3GBbt4SbTLz+o4a5uTFXbkSE6u2eZhFA8CXOdvjNowMZ8+S3dtlIITrZMUvjYn+0rIYArtHx69fR
M/sbzjry13Ewq70D1HGHMFoe3a6xEFfxeqZfRdsaTcQeF1BNLGGf32Zial4QMDQ3A1aoewcz0LWn
ZBkscZleZ7FODhwUwZ1VuHUcM3dXvdDnxrOTa8xk8YewGsRtGEpgi2nnUgkUyEQHjxCEqrDQ/2na
iUHCk3/vpEoffNNtX2FMkPGAiRVkQX9pwaMXG7vwXJRinU+LOl7OkrPrl6mLmk2tCwFhvRKnWEQf
QqYFgSwLQfGggM8Ys7VLUFt61N3EnpWh2Nl4YG5IrhFny+g41bD7k5RmICpZU+EJPZX9s2GiYCIx
gSi/jU3OpG9MDPpH7XKUBEEULMTqYKmNzB7xsGcqdyMyV0b8NYEO0/J4qNux32LacV5NjVVa23EK
iUCkrARtCwGZp8qdY/WIHNsjNY2g0SSKnzp3rpPLf+v7/6i+h+VLcf3v6/vn/jX+qbT//gt/jA/f
8pwEM0Lh0lKyVvbNH40uSVwN5gTIOox+mR/SZPqj0UU+FI4H+WZ0+L3FZak1wgYHAt0oxuXrSPFv
1PVvnKkfynps2j6HEAv6D2Ax332Pfq7IJ4yr2Ztv/HIxlgztRj3PKMYmNrQCwy6QDcIMxyiqz52D
5VnOMxZWKpj7ucFJ0zY0xM2aIN90QOxWIMN8iDF43xc8+ZRQVa4Twp8wdYphXI5F4drhRDMDJxGB
iD6AT/s5DjXakiPxCOiSkcXRy0I1Ytz5aA+KK7oObUfzQMrKo3Ol5mQ4Ti6dg/EUqYHm8ClU2khJ
LPaa8bEeuciPRkmdsavt2LR3UTqR78C1tC3GYJSbgpdl0asFAr1idVZgp6IN1hZ2EQxER2ExLuJD
o0w4tVPphk9lYTKTYGABGwG+Zb4MxpcpLhJs43YL6RYlDjUeIw3dNqeFsc8+rsLhlXR6NMJdQeUL
OQcoDWU/EmYM3MRp4Iszy6uUueLqF2FyCy1gmsTYnJGo4GdfczH0bRxlo3HCPTfN24z+x/xozBJF
0VZEWRrtQ7t2sEibzB2HwxiKqm+O5CiGcl2HsrHJ9IObi6RFLtdVnH42hWPiUzz9d0X4j1aENdbp
z1aED69dzOGz/1lWwHB+/bU/1gXp/uLDgXP/aIHz8P+xLiAr+K40eJMN/LEkrAlWRLuvyC5Y3zgJ
/3HiJ8HKsR1pgeA3oWvRof87K8PPqhe66Pir6DGxMNBfMOlJ/HzeZ/7eDAYa+Usx5sUSlIkeLi3x
5Mh/p6b7/MOF+Rf6n/WP/XMVensxpBWIJCB9u3zcd9ysyNE2psXevsQGIIHSrkzCL0b/JUt6ymG0
OfWnSCjc3yM0y//FS+PnYm1exwZrB+XHFn9iZFL3oPgub07Z0m8Z0GFLZ5tGjUgV7mkKegbgqys2
XP2Zf/7y65//+ZMrE7+iABDr88W9f3nTSqKS9qh1yQsDQYRnjMw1BbLBmiCW9eU0rpK/gA++A4+v
l5sX5VaBqchkQ73n/ZV1GQ5R7ZsXcoRNJgUwGszCXTCp0wR6ectMtpPVwjnIAc1I3A/9N7cmuTo3
XK5D4yJCr1UElaozVoLQspA3DPq0awBSj0KexzrEGJusVBsUjZKjis5LYpD//Nqt05f3186laUsQ
A3sne9jPX503weLRBJRc5GBwrwy5fdL5kOm9R6zV05tLXGd/iQH8GZb4/eK5q58QqRYv/B4o5xpC
pRrF8yWVo3wqcQmzWZTxbyLVzYWhvH5w7FregpoGqPSWw/rnn/p/Ppjkq3lrrgCBQIJp18+fevT9
FYuv5QXkln5I1gdm9mGHRGMj/0KUJllM3l9hSyJHwwzEC9KY//m1wln1pRCDvNg4nx+MOibeeEzk
6vawrO4bChv7FbvB+nSuZudaTTwsBqU3KiQME3//g1u0Oa218rH+x11r2kblNyIUl4ExShPYmE6q
a5PW44jQMfP/Fw/J2orlueQfhFUrKPSH2R9Cd0Ad1mhyZKB6L+cYsz6HNBJ1lSDdvQUMw+ykOpOf
x13ukw19S5aQRtiaSlr1ktCgs+GSFR9h4mbaBFn2us9Gfyd7qqc4Zt7DX015yhyvpN3jM0XJ939+
yd6YlO8eEYULnq4tWwUl0LtHJM2jcPBmX15C2orNflFEcb/dN/TO6k9tCwID4QZL7swFLPDo7KJk
yQkCm/3mWM8FDYcEeVZ+WKYFQ74kv/6b1yKs//P3+S9WQfDS9L2FzZtFCvrztTY0cgA3tOUF7z8X
5O0yyzW0VopQPhEg/ld3NlXyz3e2i43X9hg70zSnN/3+FYs+MlORzR1uIKs6O33hvCLXWv9joTcZ
IKDdt5ZLBHqYhKT4ijGFFjjRP3xMhrVRQ5xh/82qRu50wQogDB6CBGLTNXrZ6vx2iVCYsHlxwiYE
flTVecZLDMwsgfGl+EDLPFTnP7+MfIL3H4tPwvdsceeaoA7fY2UXL/OxTc3RBYHOHPj1vLTbVBnp
Ha2+uT+WYzxO6HjGtN+aDloj2h9FGO99JF3wOtZjRzDrmnI7Jd5GFL3aj2/CoxhDkgxKGRFSQLcs
XBCtLD5693gynqE+RJB5YeS19BZWLRMMqZjZuCl4MtJV6MQWsGqeUiKrba8uL8OqhvK6Ir02C6+6
HdNQ0RKvWoEpF4PoRzmr7E5Wc/5VMG3Y5tQB0KvmBQLGrMf420y0rHvVz3G5TXr27yvhO4j3Gyut
78E10TjTb6Ite9VvOQpY1mZUyqhfhjJPCaYIlXrElhALgCVIJDetOTYIUpwITRRyzhk6Um96Xxoj
b8nsK7o+O0IX6JH/DwPMEJOAdeMUEo9ybUZAqxBGhleCYczjPI0S6pm98sWMCTUEc7m+dOhAmEwn
yN6u63sVFXkb0ICJwy2CeP8lige23Yx7RM0Dj5xbzf6uKWIadZQG/k4x6uPdVY7z2gFKTILSY7Wh
BGQhHmt2gQ5qCFZa1QHXCK3SwKcc5rSSJIq0ay9TGUbwUMYS5dzyXUdHRiWiOpwTzTVyN6R20Xfd
Xb1aMuwoiW/HzO+/eiVjWjpEsTiIJG23vlVEt62J/rr1CQVrqvrTJMTykRzC5Mpc/SDAbM0viP8q
Oq3gHpRvhnuOUtVn2i3OR/p6jB3fvCWryyQaVsPJsnpPxMDXE8RQYQ+0VJxtITGocGMVAlsFHnu8
K/NqYwEC/c1uhBtoTlo4Nd/8LiMIR8wv5XcnzIiUzOcGyOdKbQu1cmo2PeInzLQb1Cahyf9KcwKL
ESARhYsBb8UAI7ZFH+TXH414ZJxb+Fla4nwCp+ftDbEWPwuZ5VWWcaXxWVdnEXkUQ6zg9iv+K4VM
MufwvClIp3zWRsc3Noc9m8I8gxQZFdS2jV+xViQzdyXaROJtgIY2/A1apvUnnwEAp0S5EsWTtDIC
gTYC2BtkDnpDHV99NrJkJ3Z0GZS39MGCGfQ1dCaSCBNBvdrn8F7SYnJeNZT7l8mExNEtsX1yVzGc
YbMOKbvgkN7GDfAdnlDsVYXFn58bhzfHiaM6U9aFL4NLcFY2F9U5KwEWNsJZf6jK/eu+p2f9/9k7
k+26jWxNv0vN4YU2AAxqUKcnD0lJJEVLmmBRooS+C7QRT19fHNlZEu20btY471p5005RBBAI7NjN
39C7CpOEfm6MyYPjGLm3FJWTgU40iQ8AEP4HHZZos6IV5z9L19BDx8rjJyT6jHcMIQgxccBdpT3S
KzHSUfd/IPosIuolRpLDRTdJwCEaFr08JW00vPSxWUrTon8cgJwgXm/utp4mWuRe769vW9JOF92o
3FBBTC5SVijxvmnqUp7SdHbuwPY6dzO6X2flLs7j7KD85LoAMqaccsMzupE0kzmex7Vbdspkj8pl
7Z1a8VB8klypzJCuy1s2Q2H+aZbGkDEtyD7tcg6eIWHHe5ouw0tXcdr2cdp/LJBXwuEvH9T9JVHQ
Zd+o64th/KWhx8CfV9tzM7RrC9RZqxB0I2LwV8yO7Dua99ZWtAkdTqg27Q3biHd3Ubls2p6DZ2jl
aUi4I7uwScLbFlnqwCm7j6gEcJqr0rXkPkHX/lkM2mi1tEK1V/0gufOZv4MMGz2G9aa3JEIqlwQH
Kd8YVdkCSaBL8XOxj1cFKMldFeBHs/UttBA3OAGaAUigopusDvxnLDJldeTY4QY7l+HnJrIgS2F1
7CSfKyvj4s3lE3KSoFgPMz0T0iBOHkCry7vIX4YXCGe8ow7ZPnfkX+PU4QBu/IDY1ppSpaT3cnQU
onSEAe9K8KbvGugsVzxOe/bQPrrP1YSFJ+aC3O085Si+LJy4o9meQVM5d3ZacDKVeExh1ziTrvpR
oabbbkmt7FRnCTWgI0A8blBNjKCH8X83YGLYwKCLWLPRieKndcbnoigjFNrH3s6PDC3ZI1VWBc9Z
TS9nA/KJ578EgbLy1nvUtViVilHKDSBx76qP+cI6YS5fL2O0LcxXX41O97Fw2vaMHJI8ke73J+Tv
eKu5OwC/5SBnHRZS0BiV2ScrQ45pVal4ltHI92pXNTP2XFtAsQK+eCkH7uSyE/0VWfHzkhMCAocc
fe9IbCjJafFFehuvMFyuota8oKL3CU1um/SnWtJrz0e9gsakHB32WowkRegFkgO5zL0elF0EaDLi
1utaETVAXFCG+GvkPC5IJqBc6SoHNiV2ECh15XH3UaTAz7a9s6D6ZZ6Qk4gceRBEIIl14fFS8MJW
6j5qx+MTTSlRc0K3vVkoaR+nnv+xBfTg7UeTpWnoAtX3jPFybCpts6O6ygINHGU8uw66+KZxI/RU
J7feSXQW7y+rJgE9xbticSq9k+Z2MsFTlDkqc9008r02WRrfVCWqerZWKGCHnvZAClTIoQY081/6
vOTjcn1o4mDFZOBtMrY8k1DajPdZnggPemrYn1QeVPU+iKcquF/lYrREmXHqrSXt4NlfTWThp+On
xoz9KliiV2XfWnC642ipruF48rdhCbv9g2O7C1skKVlobQ6XvLjEvtXF3btNHYI8qUhqSnIfocct
45D2fFmA77HIFO6QqIgLJrDKNOTEuezdJDVQ3nXESnsNc/VZcgy9u+xP352SY0Ej4Dg3vV/ehlPE
FonsSZ78oJyvs1QxD/m+Ieqljr512OEitC5neUIlLoay1gXPKWI3j5ddIdaSj6J0E+dOIDB2dPrG
uQO7xCKUA4LZW9E0TgNKriESKY0xDjq3NCFkUOR6k5sHspaa3ZdLZKikv/BnikQI/UXHde7QjwRB
Z4JDkAksyBwUDqJtmPScMBhMeIe2Y9NMRUu093LnDa5JQNQzzaa2LaOPNi4E7UsEBJBZ1kxdQhYb
oTBzfDOhBAYSLnw25gBC7jf1ENnu5pGg0KZyTg4IQCJ22Uzmbotp5DPzesV1006t9ziFSLHpKNVA
fCkSvyDluZEShzhj0J4oP/hyxWmZXAjkuhPl62mc5iZ7g6kSA+jGIJ+lbfyGA6T70CXMW3a77SRa
Po7BRBKSWmX8dJkXN8zied4wRmJxcsOHKVrrNwwBcV5PrG0ZF8MpgMSzCRHjOy9lWnxLPXAjoQsI
xROU1Nu59fiAV45HRnicSEZGeotoyxiToSjxVBaKdc47XmgbLHo9WlMBP7/B8IYZZ4sb4QyBj+lf
cev5g+NsOTXrKyr79dQ4wD6MDkxzm7Re+y1eK/IF4a4EQ5JM6BaDCw0H5eXRvu5N8L8usMHQ2zjL
yKlQgaeCwQ73ympdujA0vCZc8pLFekgLl9cj0XinUxU7LJIXIAtLB3DZRN5CwJEm+PczOU5tUro+
iyCKo8SI/WVvbScz0rgUymVFlF28mE81znrE6G3J7SU6pNnktuQHzDK40/VymCTMaz/S/W/Lry05
JqdL3MX7wpzhDsPhpyRK2EGXwjC106a7RtGsI+SNxLRWrBgu0E+T2F638U0ep/6VIcbcpWsQPzko
q724WkUwnUv/ihqM99oIl/NTFhxuU50SrbTI3ceZK28vcRMfE6P+x4G5v0xq3Mrkm12CXmoto7ze
QQ4hRq9+9/Eib9qOxD3Z8wmNFWCDPLHKa6sNDqgHc99at5xA1HbZyQ2y/Ks/C3s4B93EFzcacExQ
9vGN9T3D6OmRGAHCumwi/yoMER+8omBbx9NAfQPBapLHFszwAW02N6JWGYNnu9TOIyZj7ZknJirR
52FJQugS9JoSl0qiFhwsAkQpGt+22Ok+RC4aebw7qVMTDi4pc2DX30QK+JguWW0f0FlHo12o0T1w
5ewRWMr6fs2E0YlQ+fsOO/ndwBdCdKba0QcORFzYQlHbLmyJznorL5QV0mnoK5701pObBtaXqfOC
lwJP9K8VWeU3hlwD6fZSQUIXykXNCD15x3BhKsOKMRaacjddyDJ9j+n8Hvnx/jrw1vwuN5SatBD5
73U3pg9oA87rdqqBx5SGgqOiQN3FXpe8z6yw/IK2N78puLB18gtzBxlRKtYKcVhMmUdbgumIZ/Ff
TOf/jOSA1wtdv38/8/09H760zZD/xBv1vv+tPwY8kfjt0iZm6ItZZhTbtL7+xHW6v7GhoYdCZoho
1pje/59THoa8kUfmQEvIxyvlBzdlQ3HAeZl+hrEopDX5H+E6XzfeEMajl8pACQ9C1/nL+JfBRFZO
nJTfk01ZO+vbwGGuq5Ui6o2S0ueHBXr7vfX4owfM310QNgdzHtN3w5Hl505fyVN3blcHZ+yBox08
+vyoTfdaVFF/QjHjV42+130+84Cwa1kvxit4ebzqLMaFQEmPcRk6Kpl4xpPMubskq0Mw/4on/rr3
xqV41YwEGEjA9n1tbyOzJUun0vHPpanB85BRFbgYQhNsQaKqpiYPy4J4ZQq1f17Vv3nK7ywa8AWM
0V5bEy19OSsb1frz4NKWbqLOtOGDxsDkUtKof76Y83oqwIOyA2HEwKmmnfO6ybi2COSGa+6fl5Zh
HiUgGQkqnjbJ8DyGnBYNbbjsGhgv5Y6SFMnEwJayZcXwHbmf5le9+r8+vmB+JwSN3FCESN7+vKnA
6FPnpol/jhafx41rNABsxmnH/89rgclg8MoWZuO82lBp4dkVCAcfWs9CP8G3kLEf6/V+Mmn1Py+0
+RZ+bN4DuKZvH/lBEAJZsl9PenB5NMfP5J/nJPs2uFAeKGD+06nK5SIMeC//TZR69UHS2PbD0a38
sy5pXBfRTDETic7aOuTev5p2OmZ1Xj+S54aOC9yEJXw9UIoSULIapY9z4eYk15cBipNYZN+VHLqP
UV9SEQnFR2oGTiobvSvcwbzvkIV/a2D9NzsYNz3CHqJ4/ANJxs8bJnEdN0lEiRo69CIkJRrHmI6T
GnXWwA6l8Kn3ZemSqys9Mcm8fLyBmYASQX41gf673ev7XuyDuCNYvR5FlFUMZLrs+Hhn6sZLnro0
zAaoZH7lYPh3l0IgJGKCxtHylzk7qv2U2GHvnfOA5Y3jlE8Wjj+hPhK8/X/evj+HesK379vMDjFL
dLncX7YvyuqgjPsOuxZ6BBr0nGTO5NHo0guNSmM+FP0qMv0cgs0ljUmAzRHMp2MEEX5+r12p8VB0
QMbbCZ0EP0JkfTPIARwM9N37HJ/nen+pBrKITh8EbbqhTA/OodWQzgMz70/awJouEeR7q0dpuimb
JAMvD/uItsw/L1JwQVj9v0/C+BvDRDBDbCAdHiCzVwEFnE/hr7XnXw+VjSSXxvOlzYV1SJ0BV4PW
rhUzRYoF2SJoX3RK7I1+yjtJc6XeQxSn8sSBgxeZBOn4or0avScwirjaXKpalxlGtiMzpAsTOJR5
QGzpA16KngpJiBM+POOLNJ20EJk8CQEAb5jFLfqPo5laRanvob/OAm4U9d5bYIn0EhHIiJ9GDex1
m6Ek55ycAc01+IaZXHZ1nIlyW8k88YxmNtYKVdNzDdOgEkNGb7bHunTjz0gzI/9OU27IWnZIh1Lg
R3r2oz5apNzi+jKbG8a0pg8vnSa7LqtsfGGK1H8MO5x1rmsnV/dORNZiuaNFrwdJr/yTo2JeGaqm
oiw3C/2hJ6Sf2XtjKZ7RnWa3++hDPysnpkHuIGq7ETON25o26ReEzN3T3If9vRRjfQwWyt4wT2Hv
EX8hby4oD8DmNA0Gy6PQoafBzA+dza23+ut9xbjwCVH2/HgZkF9Gx5cKddQu64NKX3g/DKl+cmda
y11s2gEXsJ2zyuGlrFPX3QhokHs9JOghRVAXnqZO8VPA0L2rOGn4LbUpu/XIuoH7pyy7nHINJzWI
XYHovaozWZxgg4MEVWFoCtVM+EwmGqXD68wkJpcZ/aX5bheucY1QYt1XNlZLlBc0SJFYYteUoBCf
Q1GymijAdcjvt5FCUNWYJl1fSkmL/tZwHPyZEbG7GgCIF2DBtUdUEMP6NuP7a+3U+LPpCBMMi8HX
TmFLFEHMjOhchMB6cdq4YNqdxmMvz5R8T4MNVP8IoSAyWNr1bedEnEUj5Lf1AHudpIOZGvV9B0j+
VoeVxug+Z4Q7t33wLJimAdlpJB7vgP/lQ+pp94R7MpwINxX+p2aem8dI5+q26udq1w9riwubRV/v
4OS2vM7R0r1KKzNKGKp1BQWo22lnD4mgO6dRNYWQ1ZSbECLnXYR80Ln2s7YDchfH2zwYaPQz9kDD
TitcvewA6/es665L24B82ZOITcArfkfLKGqQaJ1qGgZy/IYxMgwDF6eGGNuehjlnAVpxKolMW226
uovdAb8eAXx8QJNKDgeoDeILSEIw6HAVbxh1yvRggBzQGDCS3sGabI5zO7V3EP+cBbLIkH1KzQQO
+Hh3i9aIODKHSM4oTOA1GQ2LwOYLQQZoiRrboKW9Rtk9VSC+fP2pQfZwD6kGdztn5jVGQH2Q/lya
T+ivhuOO2fKwK20ZHk0yOhjOL16HBmKw78kBNwDF6wPw5tEEJqYArZ3cT7T8roCzdFeFzIaDCib1
NUnbZZ9ZuQU9ua0/5BgFbivVjBvEOUp600bVsZTPMJv5Pmh04+ZWZ9tpls4B7yp+EbLT/srAEm55
0rYbGFSZsxMh86dxS5ci9BDgBdyTtubNdygCO3F0Aoevgl2DPRiO5QkX8itkCf0J9c6o7Qba8gMm
I62y9m7dTu+7UvTddm6Gw4QqGJ1i+0sVDu0HlMdcKEIYwg0WdrnIo9pHvC/wdQAsj3QN4f1G+P2y
6VKbNxqCQrih/9C8BfLVvQVex6a20Asany9jAwujnmEzmNHOvu1GtzjjPUqC7WL41W+JtuNLKm0C
Uqtj51HZmi1rj0yyJGq06T6a1gA4e56tNFRRiGWGzChObxn9tx9RslzfXjpeoarkaRxizuMIzxVm
GK7fnrEBM7/NWTGp/Y7DAylBYmbAvtZKHYXaMymcmGnczB1OqEiRBWhvrz64sMvwqevYtqhFIlTG
IK6pPrptn5LPZfBsHK91W8gF2dDVn4Iii7pvqpt9M1ockz2uxsO+KfzlK5iUHpvf0gp+R4QlvkJr
czhV6P3hd7mm+YSQYZF9HubxuaCtug9QJE23yBP2w4dKW5P1kOM+5Z0iN4vuZrplW1FBlc6WpT+h
n6kPKjJ0ijhF3i8O/eX9HMj6nhHFN7fSH1bXd96Uo0vjCo2cauvG0Jr8qXNf0jFLX3SeLw/pFPLm
+OKLfU9fNmYUEWIxN2e54axXQ3iNLAbu3etSQV0fBHF8W8IFWE4IpdiwwVp12w/ILQm95mji1OXk
bARvAVtv+glPVgM1ew+NoLpdpfTfaPA5b+AJT/c1Bmpb43z9xZ+tCh857X1uYzGfR9FpOnKJm4vN
EHn5FueObLNMeomxy60IF3ES7Io68q+BK3xOOmt5WMa0BEc32bcyT4NP5SIQx5RVFnNWGuEcetjp
XUzT7FaumI9Y8YKYUoY3+bObL925DoEpNHkwnZFlsJKNPw61PDqEvAMysFAbQVG6ySb3AWsfMrCA
j6LsutOMZPRDh8rzja0m/W7MkC2K53T5OFVjP+3tYfDz6zVf12ALyQNzoChZovJOrDS4j3E2DSeq
XOsGIb72PUBnN0YpYUJI3bVCG7VaNs/dwgn/DQm34XbquvmIw4U6N8VQVzs0xxO69g7lRUZwO5Y+
yGlGyh3D1nQO53epOy8Qlook6NiXlfxYrqMHnbAKbtbcJYx6torhbKCKtezg9k0JPJHWvR1DhZsW
CConQlkSWfWS6Pu1dcWUHGKr18wC6O/6Pta3KEfo0zCF+f1QO/37yVHDU1Qpfz+vgPF1sTIVCdH4
9FGiclAfL8Kdh+ZqDtlVZy8AdDiHRhsp1cTCE2Dns1RvZ02dAr08lFuM4PI34MPW97ZcLHgqI2CK
3Ou9Q2R5MtyABA0O/RBCrW3dPMadg737DVWf9fcu8sYvCFuGL4tAiOVgM+jFLbRymLoUbRXKTRLR
t0e4pc93MgPNdArH7luQrenboQBWsNH5MF57y4riV9siswC7p1cQYKSE1dbIN1bFXNi1RTLu4tSw
WbVaVxBFLcqHweSP0bmcbKa46DF8yJhXA6tJdfGGvjDKzkhQVm8QeqzwA0GHC+Cwx1uraCD5wPQX
DEye1gyXGv87Xve/Anq/4rcLumQ/lDZ/8fT4HXwQaPefKDDf/86fUHcbngve4uBWjZgiQnr/6oQ6
xvADQGzk/UvQ5c9GaAADxnb/pZHnUfH9qfViY+tBr4vOD/Btw4T5T+DuP/daaEUiQOlQhAcOyGga
rKZy/gHtmUwLIu5Jv9xN9Us6VLus+vzDavxN4/NnsPJfL/CqNJWrV9XdygWigsCJxccUP6MimccM
aV/++VKXxtAPJSVtMLQIYQF4Hhy/v8IplYPrckCafFsEFbU3qamF9o1AAzhyYYV/Goo1jb7AUolG
cF2dO1j4UIHqyJtrEIB9Wr+A7IpQ+EgnP0N+/5jI1AwjmulrTsKb1zeTRFPKPwP91VfVEBeJhA1j
q7MApJs8qn480OAJroexcN4WfYvxr4L118AbbbCVjjwZjBt3FtYybJbZi8cdE/I+Kx/67/YgTIap
PXfcRI3MFDOVYdNM7rWkWHuvwHifKzxYIM5BpsFX+rsbSoiwyi5Yhb6L0OxdPlktDB9IM3W+ockj
t4huQgHykfbX5wJLcOthAajkN3tvTpMY7NkIX39NjiGF63C8vJH/Ro1fRA2DRv1h7/4laPyf6vnz
c80I4fs85urlf/+v73/lz+mJ/5uZcDiQQqjiBWSUf8WMKPoNmyGXPnRkWjqXVuIfQcMjaPA2iSeQ
AgTtFb7FP9lz9m8uww462ALKje3F/xFH5lXQ4OMSKARwF0Qol8LqVRuxcDrXHzzfOsWWBdeTmbg+
TbE/PP6wJn8TOn7u2gWXy5geEYwcz47+0q3UzoA6kJ6t06BBvpVtrXbeZEdv6mXGhOyfr/WqaWeu
FTsOgQO6NInFxeH+hzjIuyjoc3jJSTlt/IbBpXH7c7xrX9uU4dgeZ7+4IByXn3rC5vFIDmFFml63
Q/fOjBt+uOTKpLN3QomorpIJWE+AAzetnNBHbi0wrxiWAJGl/e+hHTSls0esqAp1BN2BcVofpPgx
zzP6m9MKnKQzA/G4XWkXqFhinYca/00fD/GxT9L4uGj6gjUBZYvElPEhdOp3FR1YmC1yfA8yv7mO
Z9kdrKSGCKhwZ0SUL2h2Rrj0qHobNEM6qH1PevsOSUX9NQbngQiRL5/wfr21J5VT1VXNduoq+6Rd
r7ylPSqibVZ40zt3wFZPe7p9o72leO8CqcVJN6kOQZ81poMx483dLCe7TQh+unePEbIDG9mrZe9k
a7dBkGE4gwZu72QXLWAqS+/ZrlJsFcTS7zQWNacefmG68dc4EbCJsNUeQGVhQ1Gv74ANZhOa2Au+
2zLyD/bgyo/Yt8TYcq+ZDDHpDr9bdsdMMzHwRlazOIQojTS4zbHPtyRnyIHbXt18niSYVdBH0e+Y
9Ln3cWrHeO7ZQ/xSRAOa5k6Mvc6mdlWLt0qRA1UA5ALINPIynAQrI53e+NUbdAgAJQs/bW/CaZnO
amqWp0jpCl3aHBNtt2LvFTqFOZ0XWBt7zj15pL1NDCol62NURhxbfqzDdj60qz0e8FkhM19bUb/g
AJUdsyb7omTRYQQTBec0jqZu4+ggq/cDi5MB8rvtIbj9juCc9c5rcn1j6wR1DyhE5ZVA9sFClqVI
sANsrQdf5MFVAovhNC/NsPdUXt7QP51IGcT4uXRox+51qkWzt8Y8vmYJhl2WiC/9WG0XB90BkI7g
AkP02DzcUs0EIrHGdQOm+H0M+olN2lVHC1c9LAvrdTusmAe3LvItcUIxF3bjuWDM54HUQpWTeVjx
zOAIkXwr/ORhjLLLACDs11D098lSuTfoQr4N1mVxNoh9+Wxtvp41cOdbcCS4gDkY+eKlcwikNd6W
bqM/j2urtrzZ4DMGyuUblCXcXanH8b4PRmvbjNF938f5HvPiD9YkvTtXIzcFLn+4s0Kt9xSFy0PT
xNhMOvF8UHjlNEv9e0gjxj3lZbRQ4Y80ANSXRuSli+PwNLU7zB+BwiJP18EA1kOBEE5al8FeuHiO
bFWF7fQNSDi1XlUxzcR6m6GgRQlgIV/1hI4qYHt0TqZhAaditYhLqHkoHv0/uPBOsUbz8hiqMdvH
zhCmNAWNY4uVlLhdBGBIwXVF2MwssxbhhxUviQi0SOki8xct0AdoeKvoMBRDjo5WWo8CWAlyrPdz
GfCTGJbPGG33ckL0uEZl5m0qrBQZik70Q3aOKcwwhBmSJfjodtkEQsNujJ3TInHvfSqmxaICW4mR
L0jy8qKyMRut6xLPgEk+lBhF1v2RRnX5EXfN8iGewb7S8SEMt3WIS689Vk8hCiUS+zMXE5NlEliD
rjP+lSjBLLiCWFl8DIAzXi8uli8OtfTJrSGxbdZS5QoIFJ0jN2sBNg9gjUG/JCJ5UDhtfcEgOkFK
zWm6g18aLDJkbhr2fgM6ZQLuDMyluc5X4M5jPelmW/cJZoxWBH6q901DKJxD5+AwWdqRUyG3g+Pc
thlsXD8tldW8gST+tEr+qUf54kHT9cXLtrGMMfC81O9Wz++++gJSDTdivC5NW6rDR0fvJpFW2V6q
pb2K8Fx4gy+ceCaF5P68anYOyRDW8C9gPmzLqObe4OfwZ4E14t0ZyerJs0e6XyXwgB0Sqe1DWmfM
AQbSCMrsthQo3ybV7r9Z4P+EKQ3lnqHWv4fRkAUO5ask0PyNPwtHN/4N/F6E4WII/w/AwZ9JIDUk
+qEUiEARMKCDmPMvBE3o/Abbih+HIxXAGDSjwD9ywIA/CgCgUG16zO8RY/hPCkdDuP5xpM3tgCsN
fAcsBM+J5NrP6QuC26rGhtT/ivVFV3zjLEk8e4cqmtWPu3EsXPUEDS8fD4OiBAQ3qoLgy4oKX3Pj
tAHyhIfOMv6pJXJbnJVNnOCKuokq1FDeSxvVbQKy3wmNVUmyprO1nb0ZK/utV01KezsQwIP7xmHM
Q0smRf9oeQ9fF1x7xeEMcdFnGOZi8DYBMTgimJb3nI4cpbHcVsuKcNihmYuhgyQwZAmdrx9e5N+k
rq8H/gw1Yw9gUcR/KK/c16uDHYwD1E8HX7thmcHy1WmYYajBGUZqhBN7zCVXJ2/qbz1Or+oRKdiY
W3OJlDxP4yzp+v6fb8l9hUEQcRjGDuw/7CYYhcevwTIhA6+6HWT6gtpkUN52tIzLa+1PTBZQaRT5
glBCmENUgenRRROstRVuFk6ZXVs+t+ugevKkiYbvNYf5gFu2TlI97XS18ir2I1NRMkIpEmvdC4ge
4k5rRCmzfU1lgEyPndLvi3+RRf9cifiMvM0eBBCOLEgMpMz9eRNiY0vzmB77VxunKvEQNLnV3tdV
0uq3/7x6fFE/7nYu5HkBDRKSfjjIXO/nCylibKwZQrxg3+o63r4DjO6j+m/zha9eWPhvcPIJjNir
CCpr3OJjHM73nLRN8e2f7+TnssE8MlIKtC0cVNrw5RBmSX4oGxx0ye14LcTLPEQSM9ZOFeNI/9yC
OnxNPqYD8YtFFtHrayIEHKLIwwrQKfkrazRIl07Wk2w/oywPOmpTRGrUbwexykhvtCI5mY/xwBT2
zvKSvFW7oUHMl8RJKMUOiJH4Vl8mDpzimxgwRDHfNEyAZTM7PsK833cVwucsWbBOqfgwpDHjo+1c
hyUPNzOF6uhIS2SvGLiBpRmTDYwNs++sIcu4oEt7JHqXZN24ftTKxMUNJtwJzBG0RD12LmxV0RcH
1+8DhZlmtuSmrvOL+qtYkFNxEOFNBv02whYh+NCAAtdPUjOdZ2TTFTE6bw7SXR/ACnVFs5/EWukn
PXrh/DjLXsz3tJYqfhY5p5klycDgr+3OzdCMQBnRM0ORbYEoLRuEJBssPuPhosjSA0xO0SBHuxQu
PynQdeFHchEONZbx85qN78YlrPlCVb8W7KtBoguvEGyPubSVL7FpOHuLuRo6KZ24A7ad9x/7KA/m
U8J8Or+tfIDpx8UZ1uac9Zaarqd1Qup/i4ueZOlQAnPUOcLvhghgJ6MJBGgO09g/oYY8Di5mYU1X
lqc/HgDPloxHReQ8FsXOthOLBQ3sxlVn5IWNHE6FpZJV79G2FfwXWF9VF9uhKxnA//E7+q4HTeHl
SZBnW7YcSuaYjuqANZjwMODSawfI4hoRYp4p/b6qKASCjIAB0E38wLKMWXndVHKyqq2TISkMxoUu
V8FADQoKhBAVMmTaOSnaEsmmjUc+Ra9sGzYN4opFfd+MQRuGh8Iz+hSwEwpXNpu5iRkIIm8J40wB
bsC96RujZTzmDmM6guO8tnC6Q1KtXmfWsF0Z3FdodtGcTB6iCqBksUPUEjbcVUIZBaQb3xBzIBXO
6vFnSnAE8hBFDIH1tveSuUn3rSXNew/dOefupIbMVe9RIzb7V8Lw499IrXtvvsYSy+e3tLhL8ClA
O4j4NysdIZ9A5m1Hbknx9PyPy1SYe/HjjGbRVoQhn6ACaMZO8TTm06eZtgu3VzBPM4dRMmNOfjeg
DBB8QAaRf9nGngq5rcLHy6Da9nPNCk7rMrGcOoK8SH7Lueaf6B8y4DqktjBb1OQL82MXNfx/RkEV
H3CICxiidYMGor/3l5zvXEmlTfDI4Es+F70nzSft08Fod7iKIO8G14jDkAFu53jzI/60LqvAkKQb
1GlebWYttzO9Xn5hLwdAQVuK5cnsai/P5bjrylg7wWmNqmCFC24/xhkeyvPOAUtlIlNWoSV2YGh3
AAKfYq84lir17R17GwRIOtudfhsotbL9o4FWnL+Pa2qxZkdTohV3IgjmUm4y6hBEA0VSePmb1oHO
hI9xMZk3zEwdQc6Dy7eMmFE+ABMFUSD7ETfXtRoGazmXpOvcIzhA3k3vo/sZPDeDA3qLNk2h0vYB
QFbiN3ft0MaIdwo795dqTyAm3OyZaRUKckI3tXGMZImIVoTUXTFmePoVU5DScC4Js+KLRkEQhhTB
VvHMiKGWmqJAZmuWpTdli/5niIoTzSI2T16YkBKOi+q7Q6kSsy/taR3YQ4mX92V6bo1GTnfoXaQg
ofMHHqFy6GEiA7steR/NZoVSNPV34Cpwt0XLs594Sw3Ufc6CVtULvwtFCxMFQRHE7Fw775JxPthj
t/CT5GU9fzbKxMSl0saU5R0UJHPMZSATCE+dv9JDP4+IS4u7mVXkW3DccWBDzTg5wPHk7fcqOEcw
BP1TVA2aG0egdOLSvsP0n1YXFXXxbVZd2Ho4DcPpGPYYO0sWYRynnu24MsFu4WFFUhEfVIS/65vV
VhL6CiEq8E9dj0xItoe/jwKAxtuB69tUX+pLHeELevtHckXUN4uztL3XxseSFhY01TQrFs+6mgrc
x0CeYqK365OlSfDrmRIs7PqVh8fCriLaG10e7hhvaYtVwicm5MMuEMRi80Q5ul7wur9v6zpfzJ/B
tEZ9f6vz1WQDojXOLlvsWDi0HJQcWWMvlLidIy1Qpeirh1aa8+X6YFtCBx9BeNl3Lgo9BSPzEkwT
oDJHiU8wWiv5YNdr9Ri7bozKrZQgpq5F082QmNp56r4gC4ZvgExryzdmfSHuK02X95/oJQE7KMOm
rV6w29YS2VVscp4XDNeXNxpzcip3qwIqB8lk6fDBhUQHU73HsQbKzLLggnIne0TT2g08ldq5gRAK
pIFZzuxse96RJMivUa8LTuFZ+usWbt/M0sxaLgqqJHAPN96ALVbjx9h1Jv9BYGLop9sCft9qIWXi
qgRzOpjnTsI+TdLxasw4yaptqKtF612cV8j4HxJXU+rTRkjwGR/LW5QAnO4w4ztKj7a2Vv2YFnQW
OPjEGF4P9BTwvvVH19kqhwiH42o6DvEOfBwmonYYMqRJgyrF1dwbmf3Yiz4nuIvYR2dxMiwwu9UB
BoRHlM4RCvAC621HM9x/Pw09hjcMskKU5Pdxa6/r4zqu3nhrAYyy7tF5HfTTCBkJXxQphHyvQ3Dx
Le1UEUpjjRrAX9/YM2TmHdJsVXlM8hF2lW79qAaRULbG5TmUesC4yqmLqHnJEL2b110pRtXTBA68
adpOITrNYHOGgLHamDR9gOpjaQeVOCaoO4k7eP5WiZmCYORWZV/x0TaOB9s2Qje53TnBqLTYA//z
ELGVLg9TvG3bWvBd2gofRecewm0LmGZpc3OgdrVXd8H7RQVd5++6ZJEJRG4bcbjypOYwIBtL7IUP
Rq7K5JpwhWhiHaExzeZYiQkkfNx9ZNJH7BNnPofMFybC1YFtMkzEhRIkUQumbCmas97QLdFZ96lF
Soqm9szRQyO14JQBjpe6+gjakN8JJqo12R9sJnPvYQGUnPoSNT8a7VNf5+ID9k3walB8htYUH7E2
ooDqpj4gTAbD4M6PERbKnXv03YAseLHJ3axtrJaOWFZEuTk0UB5PcIf0aohS+9lphPZOse9WpET4
xnvEFPyMbB6UvAR29zYIamkCYl25nNELgx1SEwRdRhYII0ZzcoJIXLlTmWYh154QbG31w+wHQGi3
LfIw/DIb0ye+pf/L3nksx41ta/pVbvQcFfBm0INOIC2TJqUkRWqCICkR3gMb5un725TUVaTupbrm
J+JEnWLRALntMr/prKrl/el8ynMyMx2s0hBN0TzeqAzrTmsfvdaT8aoXCk4bvR9a+wnUUVlBckyd
8hhVqeBa7OtaxlJl7ciQJfZ6OUZIytm99oL+GrI8wZhrYgDHDD5S1agBh1h14yEMIba45AyfZYj0
msPaiA1yS/28waBcMI5Zpco0zPZG+faaESoMJPCT1Ku2c1KQdGBWwcByzNAUrf2hU/CR3f0aiaVh
C62G2liISFG54i9WVEALM8i0csbml4BILkU0V1luVjGF1j1qPSTUP6aRC1PT7mzowv3ZbUIIzhsD
PBFzNID00iiII3E4xjcL9JHQexAZoMpsF9d2VIx7KES2OKOUKKNYTGJlRt22g0jifY2VCH9L7Wm/
YBquY3qFLYbdsFgKihDa5CcjUMQ+MGFqEjjroYzmBR4YrbVT66gT7s3Sx3qVHG3gJLzPvJhyHxhG
q/JRRUaQec6RfWeLNEUjs3iYe/xAKEwZqGlYGt0nDb0HbFPCIaFX0+gOwLQg+nG7xkJEXJpDRc0b
O02jJgq0jVbGm70t12OYpymRtcoIpC/h4pR8wX+XP01U0i43Y+46XJdazHvpfhw7MjSkMhnJYN6o
5dv+2B5ZT0n/nA9jxaS2HQdfcTQm2tpfhTtG9MOgA4Aioj7LWsgR2yYmSDdma8q1m5e6V14WoxYh
MRvlnasNB/5AYRDUjtXM3A6KKHhWubR8BLUWNLzwqpWhtYeOhPgEdidpH0UL0rtYgVmvew6XeTSN
ozlqfYa3lqWzzuBUyiQQmB4ZG7BCOSGd6RFekngyz/1sLfOFgWwJMALHmyfAWrrRZI8i1iYGJfwR
+XSRKog1uspt+bTJ5GUEBj8zYncpPQKDKYoQ+VyXUWPwVUTO0q7RjlGmZ0MMDTb3WKSrPsInMemI
iNuoQ+Dbro3hbC/4aSm+MmqMP4VzmXSjsiSjMGjZMsl3vFYG8hGgQnEOuzBi1nrcsgjX8TpeAAC3
wqJg7nhYXd8x6vLEXbSGnHffAC3DnZr8geVkWzyeekW4yKOy5ky2dzXOL3QpSmdi6e/oiNMomTOX
OOrH1itFLkOrXClgt6LaAhGrCXohOrkwyrHmNUGdznJJOqo7lteqOSG0yoAsMuO2PKVnIEfNkVuc
bDmqL216UFKLakyjbRiXiDzCRV66PdBRLd+5dAi7lotNMYkPAJ0Kjk7AxxV/xjP7lrMqbUoZiUpc
B+fM+CNrREwA1Om+AXbMIUXAP9h+N4yczmsvEjIL/JFY5OEiX7papnGOfHbZTBG+dxcyXlO4KQud
JIk2pT/GZcmUJtogX31ALw3ndGRPw75fozZtoktQUxzhB5eZFQWRQR5YPdOoYBSQdUmCAbmSdAvl
ztgos0ejmmSGjlmNPDkwiZCBbqFlclX+uzoVNSNwCLAPqVI7aC6+q5jhJwADwcvHpynsZZ4pAMXH
eNwip59j+zi0fN4/PPJ9NVA+kvQUfTOg8C6B09vSGK6Cpav2dCQte5Ql6R9LI8fOgavr40/3+6Mk
AEOHW0kVXMIT3j5KR9AKFI5RPQHtlOcTbvUG2kgThzVn18fPeq9m52ia5B0agODhq/5eau9UDYkl
et5Pk1Ggk3UxxIXOSrRQl2cbxtBXuQsXu+LQGBCMoZ89iLxxcx/oNHk3VQhZrvVIeeXZ8+Nk/lnQ
LdtIpgilY+F3dKSBOvLVx6//21AZgEQIbDVQKRqYEfn9fxQsJ1wasRB1rMc+0SbegwtKpoVcrqRQ
/+5R4OwoXkrTGO21WvluzSnUehwwmsZzPjSytNXMtZx6TpqQq/7jZ71FjMg6LC0Wk5mhNO8CGnm3
2HQE8rM6sfRvkxZhCvqdVAr3031YD+ziCEIGJ08+23K3ffzg9+P5yolExw/tbFQwXfvd0kNnqGtR
OeieJ9WTx2Lq5K74FOqK3NEfP+odRkV+SFR6qV3ZECRpM6nvBjStKi0bhV5863LTwrIjgYlzm+s9
3RTMXiO83K8nbwnV4lgliMara0vElAPSzpHnW5HTukE+Ig0L74QrmWOYfiykXUKGTpw77zgaTWKQ
j1/6t4mxXNywAIkzO+rv3G7Ny1woOWr5jFRhy1ugbEukIbSZyOVnWhEWAt2HPw3W7xMDqwUmG1xk
He7f+wZLqGA9XLeW8rRYSKognuFYlPOoH9QxZmWakZP97CjoZ84jqpry6mzaVsYi5IwEMkmxjFxh
qHIs/RP+P6m3MVC7mC8s5FP+eKj8VtI3GG4skmw6QRDu368iMo5EL8k1Hr0YOdl5F85I8t1piyNv
EzuMUOD/w/i8b6GAcdIwc4Inzh7Vf4NztU1nuBG74hGBcrlue3TBlpshIQj6FOloIs1B6JEaE3fP
fP091x21vSYwKKw/8GDfTxRdUwvlXNlV5WZCTPbtiTSW/SRGLzK+Ur6jyoK6BwVdF7wPW/bjtfh+
lHVEBvi0Brx4hw7S+yWRkUO5hpZqX/HDc7LLvs5lFStJKWrscCyTCdbHD3wLt+UoQpiXDg1NXosO
H5XWtx+tT92Fe3duv7YlfSKgAtjUEBEQP8zMa9g2WPWhuoSiiec7mYWK0Z9Op98G1+a8h9MJpRfh
B4DPb9+Agkqca7VTYgynzlG5ppeFaSQFwtjDWfY1whdtLLNIdL5lqPOzf6QgGkAmXtg9KI/9+GNw
CkBojBEbaubCqwAwk1gvOeQVg5Ab88EucI0e6MUq0bKeo9YZLRlXCkRGRQWWQZUOLAYXOWF77wzU
WTUQKCN2HhnV7LVL3qv3+4TWsotnXqbINKQDRsO9qkgBPzouUAKZM3AUpAFOZ8houEajlddyfvSy
OrJgbhmI0zK/SAEXy0hU12ReGab4/FDghPjC+LtR2lLE18UEZeYiLjF4PHw8/78tOGQAgIvikOBB
3fptaQ8k4bGCbNdDFTcGR2tU97Ja4C29DJZ/dnc+fqTcLX+jrllyRCXe68mHrgWKwe+AAFw/c990
7vjgRcBZjfWQYNd9iSqInilXaqfyBpJVNlBvmCCdMBEweOXbfPwa7z85JGJ412jKgONkz722v/8R
ZpR2U47MZfyQVXQKDknR9sWtno16e9S7/g8K0e8XOaBU0JsUVW2ESlAqeLfIbewGkrjuuq+iQQXq
DtcVuSzgisok5OPPJekG/xxf/jqa1yhRo/BACAXm/+2GisZJzfNS6LclmlBuEFLp76MNggwJRaEk
HQmkVjS8C/7PobbJupwshLaoa1golNV0QKhWUh2Q/ft6xPqKkttiypw2ibgScTxjV0BEjmUFeFJk
xcztUUyL98K1ZUcFNBY/LZAv4MMpmUXYFkWwgDlWBAq4FCA0kGzNXlE4R/MNDMfIvPx4EN6NN2OA
Z42hsk9NvAF+i0MsKN5eYSNiNBSpDGLDiq4emKuxosj08aMkteLteHOAWbDTORO4Fn8j049VTftB
M8Oza1avzxosugwZvhLyauKo5wj60XvPAekwCuVUyobCz69aMchimgLK3rq3CFO4uimb1Jx0eoE8
7bhXshSj1GPHVrVp9tZFNm4R+KS2sM7KkEpSgvgiGfzPHjmNVdlvVRDpZO8srrrwPVEVcsIXK+Up
ymvM6fyo4sG5ku0QxYrlTKYaAf64ciAqM+99m8gezM9uMzuStZvSHuTeC0MKgnCotWKkWvjxkLpv
p89x8FxyAIsDWLK4C3/TuW74BMJV6/A5F4Zzn7aQmDc6SIKdnbm1STssxg3dnLyL2U3yMKhNXAAL
PcvvBBKveIm5Qwm+ALNuD0giDnRx39yGlHo6iJydiP3YFeAsvfRU0JV+lqxMuO0taoc+bU/7Wlhh
dRHj9X7JjRQvUs9UZIHSpcaXhehMHMJ2TC3UIj3VREfYyu6URcEruMcmbvQ7r70xuZVQrUVd8dKZ
WxH09dysiTTzu5jIGE0znYZaWvdUvqtspNvda/lXchHrAhUDMNnD0qgaFLbWOevcz491XGk4Ird2
TLUv6rqtnpbleXSM4S4xjBgclKqYZaBQ4n7IBvj6uVK3n20To03KuMMOO/B0Q0dtrgGngsPwQSPC
ohzMQhzg4q370YPR68Zp+mVAQIYGU4h3Gxp/1XlJgZ6SqSkwSYHv+3j0nMx+Vp/0ue++QtfFmWaw
Bj+e8HDOnC5Zm8mc/En+4c0eY0GQpHGYWYQKUufpPZymolLqAGEvvzFf6GHq8PvXdl71OOG0qn37
h+X33zzMASgnr3liuPcRSbiYhHatV35DvqgAIzSpZ7CdercqiuxSmHjV+1NUFSe66eAmP372byv/
9WOC1aG7ySH+Hgc2WJ1XgZIvvjVlSY0HGRCo/IWhAXz7+EGvf+nva/h1SE1dB6ODowgX8vt6y6QX
mS7IQL9pY8WeMXSui1VFbSAB5J47n0q9CKUUiAKQPbe8GhGaOsm3OPHYCBT1wL4A69nXrd16h1Jp
nFvuWzjnlOB7LJEIXvS+LBA/7TXzhHpO+VIM6LqXdDJOQp/1L15KSWelVZpaY0sdXRvIYcQrxSls
Cp0ZbWsNDYmd2nrzt7SKerpuQ7vRIkt9VKGX+gvz94dY6B0IjyGRYQBhEOOC7I7+PiTQFKebTED1
38xBDn6cGPHWwAh6Ny3TY6l5+YOheFMw6BH9wQbRoR0YX1gPH8+MJS/oNzPjSLCmhE7BqOcafxcg
aVlY0GmLnW/RQI+NynObrSYXHk+Ac9rSB8Ispp1T9NOwSpS6oDFaFbuKEu+lqG2cyCE2KNeLFpk7
Y5mpMWM9/rVIaD35baZcYqbsHGdj3pZGYZxpF+TXlcKkrWx6yLO/9BMdyrTqQt+pPecTYaOoNqOZ
vMx2mlwZDqKHqBdYuySq6uvC6nPpuNYNT3MeD7eo22QnpYS8sLInbdwYeg+22oArfR5xgUUFpUHB
WMST5q1EH9Etc9ImpWfInfjZtBT3mMSz+UWjARSu6M9Z0x+W/dtknylmbPHoJQa1yWad9zJOA90T
5t0JEaU1rSsFIfy7OjFmkNpNqV5po0SMfzyd2lvg6+sjiQ1IcWBhAcF77xAEbTNvC67O7+g/mAcq
zJCRwmFWLqjppxt6dj0nPYr632oks+6SaOqPSeKpJ0V4xubjd3kVyXm7tAg1OT517PFA4r4HA7Y4
t3duhANzNNGLI2+vwq9Vu8QiaIoZxXkV3uNqKCp0ORHcjOcgjW1rFwOHDSgpeh7q2jirB20FAyDp
cyG7JHSbSqWLLzM76XaNYUxX9hCjX4Bjl7lCtEEfVx0aIa9eYsWA56Vb+WDNrXqrMCybNOuVS3hP
0mxsdJTjq/LNjJRGGaRWUm+ikdvbrzQoJAWICCJKA7U23CtzjN/FmAJ3AB9wZwlSU2KR7nOvT+U+
LnKjRR8WZBkrkc6qj4Nyd2N4SQk6gTrVRPOfFmxv53nko21ZX461h/FgldQ2uFpXr7S9lAhptypC
mV/6tkru4dz0L2aCJBc89xQM/8ez8/v545jkCSCuKUMxP++PZEMHNJBNY/YdCyYVoYXRS58ARM00
2Jkycirn29INIXQb5WkW6Yiuri3qP1Hb/rsFi7wgYbMBchVS4btyB6DCDhdQJ/8ewgAbgtcJsZch
zo9JbvdILwnv3LTlsEEZJVzXXjg9xG6LW2uM/ej5D2Py32xY15RtGI4O6f6nc1j+I01bimEUWDen
3yNHtT83ttZ9wvhCCRx6IBfci8PVkDf9oUbQbp9PhnbZlw4XmZPDW0gwtACQXI7imCiD8QJyvrFW
LnrUn//wlm9zALnHIeYZUPN0MNMkle+GDHOQufAac/hOg6iJboksrM6n6D6vBnTFr3RbZLRfu8V2
A7e1qpcYrVdkTvA8HbeGU3V3lpdHR9UZs1u9NQeaidwCGyz9coY7Sh3fbEBG/Fhv/2Hbnuf6+//+
X4/fINoHiCe0yXP/hjqLgNw/5vd3tm2L41b5lmjx+iu/iBbSpNKkd0CWQrDwSv78ZUaHSSWhm3TN
oaOEiinL9RfbVhpS8ltAsyi2SEus/8e0MGBa6EhS8udkKVpz/w3RgiD1TfxgqVRpeS+s56V8gEkL
6O2WKRqn66bMHtHWrYGukZ6PwCVASFl2pV5UtXD1gnAK/bBhm+lFXqhfeiJRjWyyLrqzXpj90q5k
F0tf56zBekyhKGFG4X5OgG5B4fOHtKTH6NfoIpcb0xiR1oHONqMVM450EsnXdAwU24HCjcBZuB9K
hJTKfE4xcxYJKZmHu83RCtPpwIUi1H0Ke/1yRlLoDPq6JqC075WuEtuxEk7kqwjQ49JbH1MJFSnI
ZrSVZWX6Ocb8u/QTlHLAYxVStY2DyFuPFBtGyFQL5Fg7x/hlyRAuU2udM5v8R1wmakyzW49ldEIC
jnCXh75+vi1xtN4C+8ndwPKqZG8XUeNceXTLASTPmBc0ioJWkl3P/bZvMzGQZlNAiQsz29VkhZt0
aR263yDf0Lc3pTJVIUIcza2wfAAjCTTJBm2GrDPOQnHXcZFF9azDYIzmhQolCm6p1Yj7vjXnu3Cp
QCNglFtPe7qjE2WM1uKDmqE66PfgIprjaGn5ttMx98aOW6wR5Gk0EDDtcaQTUwfcN+MayTq0w5Js
tPY20Mc7L8XBgrgMGRMKy0gQoMmvYpDDUg8USvvqqbGztQ7VrNgafR5y51sTJdK0d1ZJl6YKPOJC
OMBIzLbCjwZ/ZMLOYtdUIdKlkRjcjT6O43rs08pHqU2AWtd7HIvwq6ktX/YmX5wwUR8XS4OsZrEb
N5LEulZLc34sUODUN15bWNuhmurPqOzGF8DH8nsQ8NhMqdQrfNzL+10u4kgN9Na5LooZ4Widy6gF
8IvVKBVlFo02aWJNjNlssE2f1jEQxuvJamrYoy0otMaMDojyTc6qMooMcJ+Bfo0VD5BOU6Xa92Gq
73tscQKqp+FXdkNLZQHo0hPdIJR+5q4X2TbqG/2MquCwH9vC2eg5KdXKK8Pus2uKZxUgbSBmSsUh
gEPsh/M52RNrGEj2R+DB/ch2tWNhUxLIYst9kOTtLcB6O1xZ3KVaYAlkIDp4iEbQhc3ZAm961VDR
ecr7IgyGJprvBgpCu3CBAOkriuqlq1rBZFqg0Hk9V1N5hWdNCgW6ShGXAC8e+laXSbRMWN3aUdMD
ovTKfekl0Zcegu9ELS/MP2VmrfuAYOutQN2vr1zWoROa0CTNTD2BaRv8GeSgt6lKk/jOtcC/XdS1
m4LQ7evrtgi9TWer+fdSy2YMPLoKnyFsUARq/qsy7J8xjTMDPAFGH2MiEOE5sWVl6o8AHL5YeWv5
CPiRanlCd9osaIiPoxw1sCauB/tmRDQs4rGZZQ9z+59b8YdqxB9uRRq3JKL/M/vw1036X9XLf6Fy
MhRPyZsr8sfv/7wiHexaoXOgSSGXLJgHLrufV6Tj/IWojevRKybEJMjlevp1RbpI1Uh2lkepHACy
zbd+CVK46INTkeGbbDdd51v/ws4ZzZt/ptjQkiANIXwqdXyBAFAkf3tFzmj8k91M6g56A2fUC9oA
19Mc7lMXC8ORYmKiHqDZrr1wuNcyLFGM7g9Zvvc2ZPzxCgiwoiHBZ9blpf8msK1Q3qhdN1J3VTtj
1m7ez16NAV62LguI0zpVF6S9Aq+OSroh4WVdR+mWfLZcj/qDKQBrxwHFFLQUFmWVVO6m98C5O0hS
ytPDtITkIQWKQABOrZ9RTuWHICWXlFiyr2mnr+W/ziaSWcl82y1AxArI/Mp6trwdphGYS+P3dkQL
r5yR4+srbrq2M0DYZmx9o7yb8UluWRO7yXZhLCGloBsX0TByR6QLBUIqqm7urhIXOS0rBdCMJMO6
y46mMpzyuBzWU4k+n+L1J9t70Axl3UXO4wLNYV2k2goHbt+0HaB4HkpXMdKQeSCmwm+H7NOkECQ0
Y7vOumKNo8hXZCzVbZIPN1HnXKRa+bSgdYEFid/YY74Fq+auxh6NT6Msn4vJVLcZfLTVrI7PpRkF
EXpdx7IbLewBar+2Ox62bJLMuI6KNPpR3vtPyP2Hw0VDMOqjw+X/tBlMlcfubZguf+eXwo33Fyor
SGKxWWhYv/EHMP+ikuHZNk6OFmRVz/z7QLH/AoENnowNT0kP+eC/DxRDesbz0xw2KODAGfs3BwqM
yrcnCj1E/kevAvAVDS3rfWUFWoPOnYknkZW7rg/tFfZB2YvtEsbTIY8aa4fmAnDWCnPMbzhkOUcL
w1DiVU0bP1XVoJIp1soj8onqZcbpAY42NM42tzY+h7VdBlFnOldxLrpPcyqSM3DufJsB8t0XtFG/
VviAQWV20gPco3U/d80TXel0B3MZMVS6flMLhq5entUaDd4kjGy6+1Omf6axnh28Mi8vQsfIt4PR
rcAvlpeVpUPoysMiUNIiPmiiG/dlUiBUWeBZEuhK5ByKZqixHcmn66p2822du95x7iKB3Zk96ScA
vt4VRCz1UpsT9ZKaI9LDojKaDcWPfAvuOrrXvMS70pTsRpvs4RLB8fOizjQcbbgS+Ch5CjostfFC
hQ5lxmJGq0UDEOS3dGtvPOgR+Mc6sFNMa8I0jzBsa7GLv40kABujNSAmJtisoRKe3TZmajerKTfT
bV1M6c7r+j4YzbHAkXPWaMDow5fKTcLrfojHU18lyzN47/m+bAfjFGWgj4w5ba9sI51OoHqwXtH1
ZNOEaDmqk908FcYwBZDznE0tcrF1tIyPEaHUZ2ZlvkP6EFNMnNS+KZ4hPZngCnr1hV5Ge1PitYcE
PkumVmXQWeElMufFXnGVfZ45WYBFELor8Ea3TSOsl8hLq1WX9slFb5vj1la9EFvquLgBjLMQOitp
dgC9ESprg97NRQ2J6y6aE+/BaexiTaJVH8LaHj/XYmzOXmgmlws9ncuxU+GDIVaSfAl7szumg5p/
Niuz3hYUVL3VCNNkZ025A987N4zTMjvJZRSZaIM6Tp6vUGOhaYBKNVFy37iEE4Y42sBSbzwMtA6U
8O3QTxczfx6mqb4KbTvfzdNgXNigXLZFbScPg+sk902NcVGJteWpgH+0m7imr1RFGBf6aFW7dqii
6x5jyHO6GJhXFl2+L5Rhj1X3GBJ4W+6V3tT6Qwna5bKJzGyf0EvdpdgOFigPdzml7Ni6zuvxQo9H
k+WItLei9mtKlv0jOCOUFOcp09Z6HTqPjTF+txq8mSJEV1cFJC6MBkNzQxPQDWan1O8MM3ueR6OO
fCUy9QfHLc+VMCC4dfW8XdRSPeGnYUNxwyzvYCngKsk0XfUqFjS8/FGxm8cubNMbJ8oaOEcEC89J
6MbbUvBL0ZLkt26iFmgZQH/Fz6q4SCMmccSTa28PuR3A1Sk+O0bXP1HLEy0S0doZWsSe8Ng+VGOz
BeIKUN52UPtM8jQ7AQLJP1lhvrPnsT/Y4VLuzayogq4estXAYfnQV16yd6wi3MxIYAZU0yZpLJp+
qjvUG5apqXwjo2a/xDM6w7WV3cN5mm4dopFTjeovlrA1Vdc2zvSAel19o7TTZszt5qJpASv7nrex
+rTYht2oXoLPzbdNfhJhKO4VCT3JbEM7pWpk4H3lqigKjxTQSlW0z0Y/8yZwLkd1craVNk5rkeNp
TmZnuPe9AwNxVavYMq9GZ64A4s/R9dJV2VaZ8BdZzbPl+K2YbA/BpxG31nAmCCLkWCFbjYK254lb
tDURKMvxpKJ6EDUcc7RcVl7dqhek1mhBl6G61jTlPkUC3l1FEalWknuIxNjQOj0gjX6uJF9Q8FH3
udqpa5LWZqWnWfWU2zE8rSr2Tlbh2vuus4jJpGnwKemVLHCc0gcQ3z3aWA5uU+pIN2pnFygDFIZ6
JdxK9d2wWKAXubm9hnaANRq3xtVixvEXVKqSY7GIr+B27B034oLfaieuushE4pQi+bFL7dLvZ8U7
4gnW3vSoDF6mkJ7ulDDJryg81GsUcqON5lVRsOhxvba6xvhCb1rf2SjmrtvQrTbxlOrfFycacLL0
6kfTaOTlMizmPfX25BbKmshXKBaBREy9aDvA1oUYF42+ooXxjYbHM8Lw1AtE1Eyf1YGhL2NrCea5
r9fdpLsXLipoKe3FKr5GJGFkoZHtewqwOGZ2gDgVGcO2TKZeEjbr2xzPvYQ4dw23brnJhGGuawEV
dzX36pLCyCjNlRVNG7upxJUmIv3g0Un+OjZ6FowAM6G4ct0mbPGLjlrsDgw3dMGsab2HzLaToChH
9T4P0VzjZAKr2+vBrNvWzTKkynMNHPZQ966ygdTcXSPOke8tUwk3qHR1p3we3VtQkeFGUxv1cywS
lcc5oeLPs2JvDKoRV+3cPJXdMj+ry8DxTz90gQ48mdF2MkYtWGgnrRCdvMDJSqevV7bJRHemGiEN
SnkBNeFES9STLE1w96dpdB4sAhH89BpcrUv0Ik9N1OS7CrO0BJtNB53/pWvpGzih27x4bZ3tRR7r
K3MalWOi45PglsUNsu/ZrreGB6u1iOurjmTARXTsKevtBwj4j2o4vMAufHDxoy21hcLDMgIsMJpi
35bOvIbkedabqD7UseOcRZ3pWOCN5TPydtMXmBwPrihthaWegLjNDjUkCHU41E3XiH5Lua5Z7EtC
rTKyV9gBoAyfwFQ31xJjdJx0ywmGcRrcm6bH5+u+s8OXIZkNl4LQyMQhmaTD1hULYr+Vuh1mop5t
EdfVZYKIQPVQc4ASe0lq9xRmmwYad3HA+hhHB0QVAoK87EKL5vIwtInzYM1W85V+YZTehLTFL5zY
0tozdqdxiNFxllN9nLpxgWwYoav5zY2nTrm1YHBZKNGJsFxVSpJhIeskRlAq6ryFjVNuhN19QWFr
hC0T5YFKYRG5L/PLpOjjzsZC0J+LHn37qpw2Xu4QTmLrl7TmkUwHTTpVqaxVhlr/neKgdkgsclsu
cb6OaSoduEGUz8jCR0fk0zQfXPB8RaGsuWqZzcPSUwqKk/HRzLz50Hq2ArdIGbZaOc1Ih8pwCxOA
YeVZRnuRJHuaEHBz5kBUYQ8tGjw28jvw+dCMRDfAPBULYvZpo0T7xYT+inlbeGgLPTn0anS0tTz3
VUerj2i79cEcOc3XwbDhD07WvE0akWzg+XtrJSLTbnETWI+hWdOYi2HK97ADfcQ93N1A3RZojY7L
BG53LyYeqbNfg6VH9BmpXO0bLgO2+6VTBzo/z4PpYI5zGzamBA2AxUyK/D8Vov+vChF6QBQp/ucK
Eczs8vtznzwPb9otP37tV2FI+0t2P9CHocH4Whn6uzBk/AUcGV8f+iOmhoonfY1f8sY6usdEmZSU
fyVrvwpDJvLGrmcjbmORe5EZ/jul0lf3sb875DwE3DX1AiDumFepWB+9LctY+kyqCW94V5WRhiJL
wr6CLgd5pr+f7ezJBcuyqqulx7t08nyU0brVNM3ZATXd2ld79+wKF0vIHKL3NORH4Zp4PCg2YWlr
UGJQOHxTKr/zYFJrJf6gfVKoAacltrgQ/Tc17si+Zw/grT39VCOzEdCsgJ5rutlaa5xpFWk8k00j
fIodPJP7JYDfcS9yjwsgqVZNXYHJt9InW6nVIC/48UzjPKSX0u5r0d5rWPECkhbGKgUqvS5C5w78
4afU0J5Ey+Mh3d3nVfLCFkJDsUJHHaD+SUOWAAIbn8eup36tts29DesA4QUULEeFj4f/uk5MXqqB
UJx927r7qIR5FnYMDZab66gvwCCm2QtQ32ll2wwl/MQuUBv+aC4YAhOFRz4Cw6C6+yLpuiBs+Smh
8g7g9Ij1QoBYmPxWOyxg602Vc4Dajc13M/M0ukO/lr+ZmijyJd6ATqIuA+mZIahzo19bvbacoio/
eXMu1nnHI3MYTReW2fD6o0FdrOGFjNrOAjqvt1nnEXOizxJwGr/MZVMBcWh13wpnQohspjxP5/Y5
zBWNcfDOFB77tVHmyCcg2ENjCAENs3dd+ObU7Fpssc44nGZIrZINgQlfNjVmF7vRZfSMjoeOlrN3
NeX8ukgQgifPMJsuqB3WgTYbp0K4MK9V7zySCft6xj8K1ToJVP39KMX2lEzB22iwXoMqKqaD4/U6
3QC5inp+lh7kVdJplNQraoCOAJJjh/bEMLGwaNdBLrGsK9bzC4xRog/alqt8TJ5gNTH3C18h8z8R
NyllMPYubBXIwn5RMEoYCKCehGz0pdp0ng8h8v51vosI/xZBWOz3I58XIQtP0kOZ+obAYrDd/KBq
0QubnFXNWQ4MkdXpOiyVSu4FmhTzbR7zJXzgJ0PjRdh5BFM1+jMDw0WX64z/WL8eG/aJ44zhYQRg
chmTkkCq6e4dBMpQtGGG3YHF5LIbXwcD+xZBDsaP1lnxVCCUu8ZOtTlAvLHWmBXB+s268DCTTH4q
urT2adenqxGVYd+AkL5BwkNft1DHg6I1GVJV8A5R3F24nTJtKbEgOtGECbKNi77OHDYlqeIxGdOS
u7ZilSHXCBKzzC5dnY1qqBwEGMvlhLNRvlbZJ8i+JicRW1ev28tA/GOnaoO+nkw6lAM9wVWFR/NK
hXiMeZGXHaJYLbcTMYyk+rMNM8A2r3ML1kayXsujjXsaRwhLoKwbzzdGxuZ1lS9OhqVW3Xpb0oZs
PcOw39A6zANkNmr/dQHIFc4WPyXmUm6NmWPME+xvc/GW3es09wNOEH3LMqK21K9FqoWPkN6UnRXz
USGZEiYOmrILPYPTy0qeCNyYAi17If8Frovc5Br/isQvjN5DBF0LD2o7lEcnUacra7K27pg+IT6C
3YEzlscw0zNMUNgRiJsou8hin1a0FY+zE3sbx2aRlYVRHpXO4+lIznD2FhQiORy0hYR4MnHHyDsi
qok/po3CNzvD9p1eNQIY8N2q0bt2P9pAsp0SH+QpKVRUhzFQUZAqxGdB43AbmbpXeYZw0E8xqDN4
zOW8rXsOE9jswke1GGKH4BVQDmMXIX+xw+CHf2C28+Ns0r1JX79uWpHYglqCcuZvxzdWy5JoLfOk
z1LKOVSwVCc/59oZWUzNVNNlS5i/KlcDoHXlcbLN6WpwshfSLIYGhyL/daxtz8qCrOBPDhrzapa0
eDG+6gIFSs4Ksh6yBbkS3uiE8wHM0Hzrhs0L/l4rpxhSBLDojUYJ54mp5MlGa9tnEMcWwC8arVXj
3BWVWa3/L3tnshzHkW3bf3nzkEXfXLM3ycgeiUQiQYIAJ2EgAEbfeLQe/vVvBShViXz3SlfzmqjK
SgUgGw/34+fsvXauJRdtGs7EJmUrC3zycU5JfWZGTh4G+NpZ32CwALlaSQ1yqCrU19wpynFFzJDt
bgLf6DQilNvsm5nVcs3FLgB/rJufnDgv1lhGCMie4244Ai3gK7T0KI5WUUzIyybTmS4mddpfktjG
jgYaraAVh8ufyf2c9/qGyWPbkfeeNEboCqERzDW8aH1dvwHyfrVTnRFHbMn8uy8sDYokLnVFkEcg
SaCp2noblDlUHNyBgjytrOWZz+xRW8ccRWvT8KNbmBZK2xYW3vVzbqI8Yqpqd+UeWkmvPQGLGsME
LndxipLAwtFObpAbijkX6dkZ8e1tYvCt2rUaKB8g9nz6Uyl2+VHB/DlQ9tdxE3XNYj5h4oROijbO
0r/+k46qCDRT2XVL+kg6cwtRyXcYcz5bkP8JPhSAMcJLQjv9W9/gz/qtj3oK9CydGq7Ti4Pul3oq
mG0Tdkgz7I3pY7PjGbTS/K2akDPBi/z+1++Sfv6fpLO//zW0WMwCDAaQv+rEyS7TbBQhw76YWSBL
JRDkNEJjGm8/5nf/meT8zSQH+dJfTnLW78XL9NK+/3mS8+Nn/rgBkDpAhCcWeBsJ6o8y/4/RsMPl
gIBnELbLXHgZGv8xGQ5+Y+lyO8A+zRWBzI5/D3IIOMAnzpzHxd2M+dj6J4Mc/Ni/LKHFmcZgCAU2
2E7mTL8s2DyjJjJUIPazOydP6HSqZu02FnoeCQA5lF5L8lsj5ktRw3UKi4SiSvcCCGw6YtYxrag5
LWU8RelQYpmocjdEzTu9y97VltM9o4/HYKKI+0sFaWCFSOqrrbU8iig5tlWMLGe29HgD95okEj7E
dB9Rkz1kPQeepJN5LjKHa7w/UDd6MBPtxTTYHl1DzykJONw1r4Buk7RiRcOlvZFQn0BgWbTopZPt
Jl6ciSTbbQ6eSqMDLMH+WgWxfWQU9DXzhPaUFiXnj6jclS1ktaPrEG+a5YLS+F1zpySbRCm7+9GP
3xyNnL4KcBcRZeY9z3q+DYI8IbzQYmpO9b8Ds/S9YapAHGDQQ/3BjrRxGjQ/puihwin+ejKa964l
9VXq9bcEsMF5MykyDP9TNA63BnCrFdFsD5NQxklyCNCgrQia9KflH1jJ5/Jk+80T3ADG4kYvwYLH
XymwD0vfb7UMK/I5/yocaj+vrh8AY6pnILD6usE6s8ZSNGyHJRwK+kXIEvwkrWgTeaiNcqIMeQmA
Nh1+dSCktQN2pN9ZuaZtkf/Aw+6C4rHmMvdoSIuaaKn8RRxZW6yPkkEIrqBEL793qrnorq1AbGrH
HqTFSw2z8FODsAybQUSandUUm4ky8FJMEP585SOq6cXdDHflyc79T26X1rtaEstgdDO9lSj3Ngox
6j4Qrr9BsPa5UI0mGCFMn2M7io828F6PEmVJYEDG8KrpaHZDT+jWfU9awLlMBXl/E8xRLieJUBum
8g+WZsgNtr02WZu1de2KHh2PHxHsYCWgZXhyVhn8T2J/tBHaqhTBrhUWbcS4MQwKhLnGQeb4q94f
3fpsGnK4wfrXw2NrNeezB6Xkxi5d/avNG1935EaEZUoCDjqnvK63ht9GLePHWb8BJ+j0h5o+OEK/
rJ+/a5WjtB25vHX0fQ686bYwCSxcxTBNqABTxN4c+DTLM+OHtvc/G/3fbPSGiVz1T6fv/yeT3b3X
bfyzBuj3n/ljZq//tmyjWDB1ExW5vTgnf9/pfec35pIAHBFOAxb4OZXm31u7DoEcpwYuQB+wJTP3
f6D5QS70686+HDb8Mt1FFQt2eCke/lQCBWZd+VHtF3u4As9TnshV3+X1hoLpCb3pQ0svtdIH8eSX
xhPKNGM7ePOWAvLYz56/UZowDxYz6ENXBGoFcts5BENe7JDvoLTUBPOVMWi/z9HoruvE4ybid/pJ
i4vmK0eOftVwPe3wCQ5rCzpg2PhpugUzxuw39q4cHP5lUim7UV/e4Eye+G3QzCxYUJtOMxk8THZ7
1Pt24SLdYc5Hddnb/Sor5KHtPHXvkH65rr3JC415Gj4RU5eH8SyjQ4LzeGVrxv2kLGdHTPAX1ybs
CY1msfPKIrnt9dS4ySxek05iwoXuUrtxmExeUDJj5iseB5rDg4UGdBa4QUpvfAH/T1PGGqd1S8f2
W8r5cZOTfsqJo0AiEkWxcxjvbWBnebuJCOtwsguScy3rDWCgtbUHM1qnuWsvvZUXE2BlCKrymAU5
2acp2t1MEVKjeli3WPQgTHrVtRTdtv8wQ2h30ZIgMmhC7hsrmFbSq41r0JjFUz86zRc2+m0ZTPec
BeU1R5GNccFvh1XmMwEJo6G4bUnEnTYmsTGhqET+NKg6vc+thPZJh63ZsiAnkT06tg9cBqIHqk3n
xs5n5a200sElD1iaMr5Jz21dTE94irq3gMSgR1kSkk6M3zBxifL8UzIGBKhMtGXEAG/am/AiV4WF
TrkwR2ffW37z7KUZMt/MG4vHKq9oRZEmucM0ZJztCpvACuBlnQPLbdqTJ0x/jV/J4MMLTETQyYCf
uDObisM7IhVC1URNCE1xZAkAFYKZb45i2CCTjpYHqdwz5R3yXC/76pkjKcYyArmA1CN6zMyifiAK
Fl5UmdYPyBcIMXUl0c1TFpwQMmRfG2hF9NwNgp4RSCmCZDOkC1yW5WV2RpoxfY5abcCZu+lShNpq
gihg9RNuIge67boVPonaulU8zikG0nbwrINmWUMWxqj49/GC4CECV0JzhC6GVnTRZQPL/DTWTnXk
tpqigGOgswYGN19MIrYfnYFG3N4hEj5biTmer+hneI0lcMsrDLj6Bso6IdsWaRgbNCr8QuqDRKBr
J2hjHomIkn3ZPCc8f7sUIzmTXGYO6wjWCDkyCakhjVGl55kG5Vsq1LgzBqt5BxEsL9GAAe7jlWVR
1vjbESw40DG8Z/cxid9EHLcORLso8e/tj/TrJVSjKBP7WDnV8KnLbNIk3dmlPlzeeG+V83VGPvvZ
kyX/x2LRHzskSS/Iinre6KCcd9lkZ18/Vho1IH9NxQEadGM2cfYvASPMT+u7icTOZJXEGYlPShSP
djCZX6ZKS/H5lrZ3z1TPPtR5JK+GZODettQ2ZjwAZm4Iqd0OJJccaYrxrZk0N7bFRFR67yUpU/ja
vSN/bL4RkWFeIz3zr5OAJZWwIhktBk70NTCpO5lQJoQ4L9FR2ujzF70ZO3QREyYHCxhRlJvVD4wm
g11NhbH5+LbKiXgRQCOk63Z5RASe0Y8+Se48vTMhBSdDdHZEC5CCe+3G/PphYaF5pAnQMuAfqY9+
Gtl8aIo6DbtMnbsqOY8U6vAhP40CK8Do1F+rlLE9vqYw8G/NfrjTp/iSgLJeFXCQYXR+d6bgBmwI
BjiNot70rrKzttaY7HpXPcZtR/K3Lv2T6/ILm8hBhaitzGbG02ZW9bXnHBtAgNbM1FLDvdpN9rkD
6HJ2R/bw3PDjtYv+OzS8yg7Tcj5j21xPEnBuRIp05UUXo9fknSHNbOvX8Uy70XcTQrxy+pbBaG9m
WpXALVGtjCO1Zu/nIllrrfFWxTIchfkuKrhigpSWm0wtOEKzxMhmOq+t0e8r37nH1EJo1DhYd4xo
o2ctNp8g/b4CQEGOUHXlFldfj9alGjdaaeEA7DChrszWHMPGdeuHwbJt4GyZeitHJzRVgsOUKeC2
6eVDlQ3NMfDynQXzHZKo4gtOXWMrxRCtsmnOT7lrfHZn3aQDLA65nMsDSW7WfmITXuv+0CALzeGO
BIyDY8UYt66fBRaDlYQScZpz3Tu2LPxdNrs6RWP0rBulCOltrgZjRiXWXJvU995Tk1uTPQn9q+dq
yLDy/FNvdNkLo3fYrdnYLeGufsjEsFtFXdAfbXRQ0CyVYj+wxmIfoy7CYgIvJ1S0d4LoQZTdWzKT
uaxDxz8TAzY1GyseU5J6ehPRENjHYaNGk3xxwz0X7Pn3LCtEO25kXPDh2uh2gfqEJbivfV7lzdru
kMN1htm8d7hmNzSTD3NJsonVNC8Dl8u18KH+Zsb4pAM/DPWa0z4whbOjd/aK0+hZJNZOn0X0eTKa
eUVQyLhyrClHR+9ot63NEHSuYI3zGFK0V/ET1MyOXCFr3WNgOzEriTcUCf4bssrx6jmp8Tmn6qaG
4BYedrY7HydgMKg1zMiHjjxmnzMPkZDd2eV7x/3ovaeHRXgXmdAMfqJ1PWrjljN92uYdPxuX1obW
l372oqy+R50paZYJKqslWX1qWv/cjM30tYLZ+3UyDevsousKHSoscsdTtS54itjJ+5QEy6RyRBjl
pR8sbs74NEqETsfOjAy5wnXIdC0Qw9aPRanzSMSPvSu1O9do/TC3TCn4EtHPkM6pbUZgGifPaW1W
TEWfEPAa42VbTRyDkgj4mrngEXYZN0DhlIyuRPQYiLS/TkDQsw1oY2ynfVBp5z72nQOVQr4z9Fps
UolVhstbbW+SVn6vmA3cGeBOPk9tOu1RQogvsIKBKbMXrmO1pMB5E/1Xm0wZ3VMAd6nCynHUjnrN
BtYYptjXETbCpu2zMCOre1tzJeZlkcE828U3r0PY3LXRdJe7mn7bRlVL97Fud8KkJzFMeRRSM9zK
Goappu1iM0ac5KvnrG3rZp0ByWT2IFpuzLmxSuFSbEtb78O6ze0dyPZbQqxoFNYax8DAhdYpuvGi
cmq8nKByTq7Rv5snUTyIrJv2RANoz/Tsz0wku3eSlylA3LnfBiBqt0MRNdh2Ubu2bZquh5Zce9wB
5grIx5UTtL4D5TlA0h7mVYdn5tFq5E5OMl53lnqYXcs7EyTNgM33s91cGTtkhQjDjHYDtCl+x7aO
UYkjb4T0uRlJ+tlI2NbHdDQ6nGpddGAwdEpjcbUjx1mjfckOEKTlTZT5kITXGShfA560ugY5u6tx
4w2MIMZNtviIml1eAv28h0MkuC0PS3oab3jJUgs+gtXieAlZy38krnkg/+VBUv+qk0OpkofZR0Tb
vKS1yY/gNudHihvnNlyNErGUuUIyC8E0QTU22iv3IwSO0/CLJBYOR8+4LT+S4uxheoiW9DhjyZEj
brGm3eTYtz0hc0JZ6UY17jUNgOlmqqepsmTSFcip7uCpOt+6JbEuW7LrjM7ob6clzy4l2K6NZ3Mz
OeZ464+k3tGfs4/IgSZ2P0LxgiUdbwLzeI0pVTagRKz1TIgeFuaF9ztkLwSiz2H6EbYHi+ZYauTv
xRnc2Fx0VYjZT4bRktPXLIl9skePpvuMSTVEhQigb5RFoU1O5Ztn0s2xRYnC1oB5UNuvCWO4NfEi
wXGOFVGB2UdsYDy3/Tfdnvo3cGTZaVryBU2/g3WwZA4yYH3QxyHQmYGPikjCsc8P6iOoUCl7Ptlp
i0hxyTEs8Lzddkn5ygUURmptomXGJsAoGI1fvU6JQxRLLmKvifLNG5ewxAmK6hYyxLht4Rk/U764
G0gS8tpHCO6oga4WgVF3TOnibmXQYznSCEVAuaQ0yiWv0V2SG5EzVyf1Eeco5r64yyvhOSEEn+Rb
JTqiH6MlBbI0Eo4C/SMckqthTR1QBP4bfhE2jjF2jGu6ZEoyem+e1ZIzqT4iJ8eP+EkXfgnRmvpU
faoo+jeOoXykh3297dgYN76hDunMqLQBd8ABrfJzinPj2QCoxizdozvpVAlTZoxjNR22miUUU5Rk
tQ8Mp0qD/hNt2DaONvTqKmXR8+EcVHMIq1gBykGNitlPdOP3pCvLvWf16b4VU4MYvXrPJVLMbo48
ro/dKW+HkntW61/dUh8vcdI3V6SDap3T7EMpYGvo92r6W2RJrLPAj468sM9c/KK1FyT1Fm26fygI
EvyPC+z37OC/6/pYrsMI538W+ezp7qfpn7v7xo8f+b3pYzg4oMEXkh71I0+OTv0f5mhX/w3OLEQB
2usfXfx/9fdN8ze4K2AySI2yPwwe/2oCGZjC4EAxQAKV9Y8FPs7PczCgKsSXIiIFu6ljMSP07ucm
ENrYQmVA+B9QaDecOarsZuQMzCFCVZTBqbHj9h7VT/uKXBKDcZJrV4oLcCm2Bj2pSElkLTqJqIRA
2mmtuVgHAg25rByb507X+T0sR2QhS57lJWuZcSGNd0iFTGS+HUDPbBpEMydTA2TEHj2RTJfPu5rO
+VVlltoHiElXiaEN75XS8GEn9mTfaRzGd7IqECMnXT+9kEAzv5C1M6fUVHxsYRKPXHvbvFVbbsDi
6Mxa8w1LbPYCS3e+aPmMmIkC8HluVRviKss9LsWqfx/b2OD+QkxljJ38Pk7ce24gaboCmm1+Xro+
+Y/J2av8r/i9/m8mkR+jxn9LrD6+Atf1Pb5VnREdeO6fv4ISmFymRZ37oForODjW4GwaU7bki5JH
TP3LYAAXmVkGF6yy5gnnBG+tcX0yjjGTcHtMgH6AjKoPgRrGWxU5yRnnTf0GI0T7QpxEd00WKomT
ZtktF2oD+epyk+dK7e/iBNXQ0Fn1ne+3n3tMv3unmU6IMU3iPc0dwoG3TODn+NND8t+86SVL+0+T
Sd60vUw/l04nbVWbSeXPb7oBHRczIYJyU5fRs7F8+zEe7Sdgq/KiQS4l2sVqD9Af0VMkVI+rkrSH
bcdpgo5M6t+a3FiaL84k75am93GqLechmvlvAtzEOzkbxk2MgPQuGVx0JyisL44fPdKMMXdBSqsE
8vkYujl5yykWRyL8Wm2HZNpdz3Xbb5ResqatXh9vdGW9Ve5wmlrT2PdD5OxnRFo9vnNiFJEGbaSD
Ukany7B10ueiCaCQ2/X0mibMkYlenl4b9usD+SntvkV0tIoSCtJmHLZkhckrD2V+RrjKw9Tl6T63
3nSGAC38odbt1jmKtBufIxmTki+HdZp2AopMRktMIXEyU7ozXlXJK8B2/DzAP7PbMrHEiZQF88vM
tO7dLygjEHNxV2d4wCRPKvJVK+z2+0A26Q14Tv02wldy8StjvHWoVHqu7KifNiJR2X5ukSiFCFrN
K4xkedf1Bh8o+TZbQHtotZzl2dRyhRZr6r7YCV6rAILVySYoINTplP0NPPKXPQsVIv4axnfwYC0G
94Ctfl47Zow7Ih497Zoga7/vA+h2Gjb6x1lO5H15SAUBnbJ22lq9Tqavwq7HfhLa05y8ZU0tz41r
RkfR6+KLJ2ysDUmh7wQTMxkssqXBLT9j5UJVMrZOwWHOIKvguz/VEQmbeh+rTYeKHkVQbV6lzv1g
BdRukTBq8629CHvYruYtASAohxtV59zRm97YOL1mblB2Y2zJ5CjPKKXU/ceybTKUR2kK8qEVqHWM
hqFOXfj6k6+VHWQwo/tSaUqgVEuZXZZNAnOIm1b6rdLznahbrQyRgJEkbA2Du7NnxTAs9xP/zteJ
cNv89aP7Ifn89361fPzMm30QNFgMl0nE8mj/aW4wCWQpsWqjq9k2zHB7wzNWcyu0h0wFvAMjM7ll
i077lM0pFCNHNkFzS4xIInc+EEGu5jyDNIUKER39fGxe8tFt51VAScTEymijZ9pWvJml53sQ6aBt
//kbwH3Ly3KZjqOx/WX9VCrvWiNhylC4DF+hIcmzaOJ4K8iWwxZYsc9EYmK/MGH/L5YMbYMOr0Hn
rzs3xoTAnmcPfSIh5S+W9AxsXRKNitkM0VYUfvSp8ASAuqSKuZH+9Wv/JUry48MnmxZXJX3TwLR/
fe10kNNW2ZNzrQfHQWbaddF3VnPk79uuLQBQp+o2k528K0CU7PrS5x2YVeUefAKnj3WJNmyiJ3ko
nKkFvSC0T8SyBLtgshk+tmKo7pTfQbI3ef9TSaYTQ6Gp+87YlZ5KkNrfiKQeDrpS/siVRsnLYE95
tfOQ0iIDctRKLg3PfhiiLyZZqHtce/4RBjBSQqQO26Kz4m1TJPK5dSu1a6cxovZO2o2qvMoPe9OU
7wAd2a/ArjBT7RrT2CirwUFT52QotfuOHAYm+XnTHAqbjlfl8ahTE8jLx6MXBVr81pKUDf0j538c
6J8dlWzNK9cnWuVlhsCOtlHypjed2mZoiZ9ZeeM7xrFlB1k+msyLjkNaqVsbM3m6soF20Edr9dUM
JPCT3pgKGwga2yevzF6tusTPECfyACu3C9ulMajZXBMJr+zWDg3ZM/oJzpK/XggUiT+doKwEtB/U
DHh2nY9y8Jeygb0alSNY1Su38h6LhM4DtvrYm4tJ0hKJBBw5bHbpCndGvKUUa15cs1eMgdiTNnHZ
HRI4hcyus+IoUlp0q7nU0zwctSwt8XJV217QuVrxJOnfZsBsnxdE/jeTy/77kHq2tkaHXnrrLvFr
bFWUY7cjmZAbGGMz68CukFgUVhEV28LAerIKgFftfW5O61k13kHa5Wf67YbFq+zmItRMUo+Eq93T
CZmndTfowxspcGyRebUg1pAaS0N1O5undu8VoHdW+vK9NlPafwHws0d7wVBFmqnaBNb8xWga5vQ1
niFeT0LETMYDga6DxZqZnR2SheG9wqcr1y0xZ8fayPS9CshFouWgxE7RNqpvTRnZQYgXMHnkHEgf
Oy3D26mayUIlkJbZl44RA1OOXLjxPqFuAXBjsRusOmJi3rTAM67aOC0FTivro+4jH9HIJl23XAxj
IjtR6TJ/QdTYDTlbXkFSoU6a6ZIKH/UDjwHuHRWFvtvZ9rpASPkpjvvuEOk2p44yMutbQmLsHKKB
b/Ibre+X8ieY7+Oe6L2NohfzrSxq9tVelEin2dn1UKvQjcTOlB9nFgLtf+A4N+SKJHQbwTM8GbVK
fdbToO4zYqWZp3iZvLbUlnsgOAEAFoIov5uwZ4l7UdoGNkaOPpDGLl6cVk0bRJ54ClFiJqHbcrNF
7MAqTAVV5krG7bpHfMlFton0dWqp4jsS5StX5yINHcrWaDURc0frMC/PnlcmF7P0JtzF0GVXXTCr
+48H6T96hr+72RLzwl30f77ZHqq39OUX7NePn/lDz2D/Bp6PobfNXfQHTOAPOYP/G12rIHBJSv+D
7cWNsU/+7/+xjd88B9gJSgcHMBgyiH/dbC3vN49/sfwYSjPEbf8IQWDbP18xuFIYYFP4bYFjIbY0
IRr8VKcMZpekKpHaIbKUXFuiKF6cjMpxNaChBWfKdGIEWzRTH5JVNYV5TI3nEgdzq9yI/EMDKgoC
+HR88wajvFOM774GeoamJyY9iq7NoJVriROMhqSqvpYORT5aC/OOBreLEmFsrVuG1dSfeVbSU0Ma
5TJU9R9A+BTXVg7jnT6+lHXLpbZL8see+chznadktaux4HTM9Ua+oDkqJaApjT1Vs0gkW8ugsiRX
EzzSm8YV+bdEywGOWG2Jtng2W8IXiSdimiSAAESQ428X3YOFpguU79ppTd/eFDUC2ZD7JnCRzM+s
nQg4JRZbdnKymL37G7JrU8b7VQF6JNfy+rWhQfBcU3GfB9Bf4WAV3Q3qvOnVL8fqmfLBKUIkcPMN
WUjifm6y+IULpAlswaxX1NMMhNHBuwPVoUz9ieRTWV8cwkbRM/iI8jh9Jm9XyDQ/+xaRpXZh4QaZ
Mcp19YEtYogBBgzhWA3cjWwSmc3UuzAFDcxVZpWvEk01WqnSv5BB3uBNzfoHgEodxvuOxLNptqBC
NUYBtTmvjk4fe+sMl8SNT5pBdFCdIY4j0bU0GWOHPQ4TrHfy9dKsQhIvi0ciE4eHwcaJlw3GpFZD
PhpPqZdHT70Gj6yZHLEB+aadJmVmyzXMJZ5qtsNJRuqkYmP4Qh5yI0InKNvTRJDETeL7I57TgMDN
GOx8DlHUTu5Guyo2GBHIDq2mQJC9Z3jjbaHJdqHADPmLWKQecScZfCFAZ0hpZlP3FUM/5sIpEni+
cQ7EaCmDythT1qfXpMmtL2ZcpveBcvhrXMvbB6NhojqIxL4xTBIFUU7UyV6zelq1M+MQsx/FHj4b
0SJYmUMXxtyzVsXtEVNG8D61k9cS/ltCNDUQtqdYTURwDTIXBSiKmhpDeGy5l8QmCJypBrKeVQA+
69Um/yxY7ErUHzrK+oBuRChKjjW+x5zBXZdcPJl1t50xJ0ePWirYGNj2cUxW0NhcvKlrlmv9ybeE
fhe3hAGvNcG/N+rYvhWjPdRkHJfNOau8OiXxsuQpf5KEwSw2dkLRbT4ejNU6Y1kcyPxHXRlx369k
MM6Ze+3ICdaLE+GhkshQvMY9Ro5pmFbRqPToOk+jNR8TJ8n2YnIvhp/lwNY9hUAGLMnMffdBUj2O
mw6r23MUBTMqPIIc195gB12YN2YdVmXnPAwQwnFlp0YfLupH5nmpfrbhcJx6h/G2LcCpd3XHYBrp
JtQlMEikzLAUeV6uUSfRZaTMuz/LaLLKkzv0OsgE4mCKYG03atAfbNVxVQAnTDo6ukOh7aehfbQL
UB5a7gf5WrbWdLDa8UiiqXtbN027K3sIBQU57LtmKOd7UfsmTZhC4Elz4oM/d8X91FrttZgyGdp5
hlzLCooNDqdyDdpqVUbwrg2RnDF5Ac3tl7tyehqzIxUav8nSxG7wIpJWU/PZjRKUjJl2zDJzNYDS
WNEXwwHkalMoUTY8JrZlH6KurUODj4VcPL+7S3X7ORiaeI1yK9iQw6XdZsqI9vGyW8+D/qUy+gYD
BNO1fH5ru/EGA3lBAqB+Q1pPP4cQ5/Wt3iWfpcWYvsjqR9+bvUPpN68MO4sNU7WrzlWeMUvxGFvt
nTtl2aUX1ROTMrkiSwi3gL4t9fphXFILS+mRXafP5Uqf8nFtVoRaYsZq/L2XMLWZ3Yqky7ETiJYS
91akRndsre4G2gAMwMAfd8Ck7bXRYXqAF+XpNPHz5AgexE55e416xj7d3QZysrcuEyiTZXTj8m2f
9Lg1cekM1VWHP7HTnEpbrv2sprlWZ6J8s4j1Q6uJHPvmXsxzcLVUiw4ZRnlxj9lwunOD9s2rE/2Y
p7Fxo8C1brRu8suwcSQoS/iWcJl9lt8nmnHx2jEc8pakY24UOFwoUfF8LiSDy3k0CMbNQUxpjt0x
eE7vHUwhPBJ5ElJZd+eyzSFVwdV8GIsounfMCMrWQCPDqfWZ6ch4E5A3u85Nso0KGb0knS7uzcab
LqYM5E0KZ+vqpkH1QFJlGfaWe+zAdzBCYulkmv6FoHOxcjT+kWQywivKKzVz73WSwIF8avBQodjb
0t4NtsPkFd/dLqrO1KndoOjq9Tb3lHbo7DN7jHYCJOOBpklKcUV5VqwFCZs3MGktPI5msyPyL3m1
i4JnK6g7/H75cGURFrjT9eKSOZGzcivX26Su6taGoV889AHr3szoRynLuhRkoa21YW7unMn46oyt
uxHwfh7KgMGn03vml762xbabsDKyMpIc4c2ou6FB7DoAErOlcLbcndG06Y02ugGBqdOMkCWVB7fn
iCSb3D1oWGmM/xg8/lcub4NeNZXlX9TJ9fTy0/znxw/8XiQH+m+G43kfet8Ft/V7hRy48LvMxZjj
GYEHI4Mh0x8VsrVAukgCQiBMmhlDmX9VyJi7UQcvt30upzbOkH9E/bOtXxTAdBDICMRHsjQSTM+y
fmmEQVXox8pL/aMuSnmjZV2Dh9cEKUeGx1tZjerAjNdGNV/Am2RPjfKzRSrSM1l08Owir9MuBhzq
eJU083ixrT56zBWP941IpXxN+jSLAQTh+Qyjiv0/FFKhfsDAsIkAJz3O+DbuB7SnsKqwV0bHJPOL
t3GcndMoBv8xQatBMHzR+iVaB8Oc11UN9I6O+iEJ7PQwOmOxyWh2kyNO2DmtutJy3xDkwdnUvUNc
FOqcBXL80qfCvmJ8GtR6GJvoe2+p8o4EnNu8GDgIZprmzyqyxAtGgfGLjEUZmnOXfEeMSVh9EDuo
SlvpXeC6BpT8s9XxpMfyVnmtMa0C2pXfvVLT7usqY2rvkepzHjUTv4XdeIz/Ox8+Ko1e+8QAKiez
nA0jWMlpSF4UPMN9AYeW5L8oecbRjGzN8kt/13mO5QHxdYuH2UiSOyqGg1ODe9qnUxHvUMz4R3CO
404HC0uoV1m6D2UCImmnKvIqwPskJnZYMF5qleRUOevKroO32SBkL2SA4ekh9LThhnOgDwEBi+MQ
5TgbO8NVK7OuEccIEmWWRgUHNUcZ0/fGP9vU6xz8ozdcR68Ue5LQ6n2u6R23kMjvwwC+RB3aym0e
RAFRyfB8LaxNyYcTFAjptKYq7gyP8OSVH6vsjqZ3PZDf7o1PBaaTlTtgD79h2g83NlGzxG0eewFl
pxuRM4z0BJN61d5VydCGEC8E7Sm3EeS9ygTfb9r1R1hKS9xCIuOL3zffO37LsNd7JVLMnVb9fcI8
aSMkJ5N+hXG3f61ayo49LdTiMRpkdqDfLza0sjMLjJY7vjSwpS/uRGxN3VQOQDGrhaJuCWtr1GCS
VzI1pjvVd3H2KHRkpOO90vwU6Y2Bur3fecaYXiccuJfSBNFWvPHt0kPDC98Sx770yRKtO9FRnmtE
yZCponPciWBdGrW5Mux+fJ6cif7tbJifY5+/gQZrnRXqwe5kvJkqqJ4hE5mx2keVsUgEI8C6PKEQ
BuCfzL2db7sSUpbGPC1ktkWMN/B1rzLaFb60etPpTYklewlsT/LFSIxBHhXmwie2ynWRGzcmafO3
tW4gBq7tKyKOPRAq56TIGaJN1OIlJVZ7D6eGz32BmZWr0Z6jdeW3rEC7EvpZc+rZXXfd/2PvTJbj
RtKs+y69/pEGB+DuwKI3MUeQweCkiRsYKaUwzzOevg+YqWqJWals/evaqKzMkgQjAuFw/+6953YE
e6jf2MHEbE9WVmfbKGYDZo/ecN3Z2P2HKkPRkF1H90o2V1eqqbqTFXfZPYxSh4hyoeRexXl7b3jN
3RzyxUwoicYu8g6JGLi1m3whFONsYkU3VBHFzaPRWekNI1G9bnIC9tEoxQPxdFYtN2N/5jUOTE3F
lpb0NCVEQ+CuewtvYd8lt7aTv/ecOl0HM19so7APcRvcAzALMemKeO3jflvHdCzJFedPZvCzyoh6
0/xjxMXwiIQVbsx+8o66cOatlap+71qxda9KAuosT8TKnVpCF3OyrWLMSxLdabqzZJ+6rcZ4vAax
Nn+wqcZi1gwJChJMSkw05GzUtfqRGQtAu0GlI4tUw5rCNoW1MpK+AUNpLBhyJMF8MRO+vTge49u5
Z21MAjaoBarzoTM8LEOCEhdOlHChfGuGFJoDWBtQuNZBlFQ3GUzFPSE/9yqprWf8AmQfAjw/I/Qt
qqGrdgvTHL+wzZtyN3CA3vozsa+1ClLebcuO+aKyCYPjFk08RFy7xwsHsWpcM5vOryNsVZeYLPOX
3kRnAbUEnQgH6daEiL6JHd0RWnazj5xG3NuwRecH65C3H2NX7izZGTcyGfOLgFm+mdLAfKQxIf3a
TE77SdP48qAJ7N3BVQi2k6jMXVo63bmfW4gYptNgcmaysSVok7LohlH3EDl2cXLDxn62G25p264G
CEtVfnZF2eDXkeICqCxZj7Bo+VYN00MgMrhZmSGiG+Iu7Mw5rF03MvUPZijjdR83yaZwXJbMNLgI
r4kPESN5DAiddnEOuppQih1sMAgzKvHbcD6ZaRnuMkZGN5GV+u/CfB5CND/ZPLH9o2pjNvro2uqT
5oDfs4LWJsaXrO2SNTLJ/Gj3trUu/VjX2MiiNlgRiXxXoeZfg2garmcA8oQtlBlzv1XhPcRo8YCg
atGpEZeEaoBLrDEqhh/Kqmww6ipcGU2xBMiX1Z4n+vgcguZ7JBuCLwNpfdxCl0yYzzozoY2uPcm6
vWs7HH6cz20BJsas1LK5nTjCJObHiQRQfijIjUYfUEgXZ3tbqI4nUWK68WUuSD+ucrvLthT1VRt4
CCNRBXOcv7htr7Z+MnEMRgTTq9B2OOHUNaDDIJy6/WBmj8OI9AHbPSBFxFiHjzLddHme3tnLJEnm
+tQFRrmpVB2t/zNHztuonf5pjsxEE+np7/fHV38l2f7xI992yM5vEvw1dCGcSI5nCXap3xxS5ivo
yGK7yzQXmwgb1G+7ZHLI31jYwLU9E+MMY2j48BiqfiUXxxD6jbDm4SowNVKIkjZ02LeJ58pv3TQO
RkXpY+mKtUVej/iSGPhyrLvGKMmwakQZpkIJ3EH/psgnHsG1NCHNbOaWu/IhLSqTEs2mUXY9bg30
Rwdmns8dzdy0B6ShK+KpN0noYAzaZXWfOcNNayYREt5kaXYHuOGXmsq2AVd03TtV8zkJhjv8otpf
C8ugASVUepc6nkcmrwo2iJLTg+HOSDszRDNStx7AE1iLnhXPe0vUZO/yUaRyHTcmh0hNurk50HLe
Vbe4j5KHuvK9T00625zaeegKvmR9XF4psq8MlCfvo0GhWcElJjVvR4ThaF8yzscjM+XZFmu6e0mI
SH+qGNVuDK8YniKKiG5nzrS7opvwKtFau0zFrZFnux2C7mgLAzvxnKXHuEvDJ9XI6qPV2IyLRRF5
nwvP/ZyO041r1rD6gX1OR/7xz32n7EskI/Pgoa9t23gBnzKX5L+xvYoaupzWQXOaTAr7SCSs2IR7
GWCYgiXR8QmRD0L2BwwVGfCPrnmP/gYxtp6G/Tzr6c5rrOnEg3GZSEdsXKl2NKIDKmn0hftB3sUJ
xuBtT0vqJcxydz9KhSpdjIKxbps/hrNmC+52WMNmjk79GKCrOW5rnR3ZWx8MfGSYmivLvhROsADN
2S5nWutjH4kZL46c+k3UgfAQFlRwdGwLlpQ/7myC6gdovQDakXbnJ2PKyh11j8YexOF8dNAJPzOu
1sewEeUD1GD/pjOq4rowgi7bO7MxXcZuVr0gftI7LfLd6tv/Mvdz+vBsSAsLIICR7NWu3ntOXp/i
kurd/MRsb0iLjW79il5tphAMVgRUz1U/IBzPW2R0YX7+z4r6f1tRsYv/dEVlcNF9TqYfpg5MCvih
b9Kc+I0cqKDNehkSfNc24Hq/gYVbllntaZeh3f/OHWzvN+EA3jdNEyqKJZa88P+usAw1WBeR7IQy
l5/6heSxYIDxnfcPYQ7nJNByyfgBHxf9cj8KczYUJep+yeT3gh0Pk0Kh7wYRzNzjABKiivNeb77E
xoCuUjnOsMJp7RGM6NtDrbN+b1ei2jNbxlX/3dv4b1yJ8m1XEH8aL44nEXgWyxHmW81wbABcJhY8
Wk1wtrh4bMQv7oxRnUmjLxOKwAnlCcdwtlHtA6lEzTDKnm4rDkz+FzfPxV1Dcruqt+VE2doHGATB
zRRWA93AfDE/ZWHY0k4D223esRk33E0q8UtdEAWAZG0cRRn3gajKvHHMJG/DjUgHJxnZQuqkfhdS
3MLWycAVufZkWt27fpNOG3ZiDKORtbwTsV6xyH/xdoRNxeoeEsPyBte+nYXq3nkFgPKhrmAMsYKn
SKH0c70AcjbJglDtyMGtLmMKhJjMMvxlErzrfStMTy0JwGRHaBX3Q0zk7Q5vPqb0YNjltf+e1Kyx
p7emPlVBLPZdZzefqRSqL14mx42KGwiixaksVPOoodXeCo+Iim669gpHXX8aDcBBkZ5ZcVM0pJvK
safrPAh3Bl5gzjCdKO4Nx/tk2jFItKgpig2o0fAjtqdSr8xODmcDzelu7hJvxE0yNdsh6sfrQM8P
Zhekl3rq4L3OXq7xVihadtzEcF7qJothGYcAC0HYzzyZzUjdm25S3oMtsdeZ72a3sp81bk27FsmZ
Y01jv4uDGqEU8+llnqstB11rV3np8DghGmEWs/PjqEq5T9Ms35W6DZO1qFW3bhhhLC4ncQCnUW71
DFzUns2Kw3NZHJlDDGtRBeqOd726clVS72gGN08BHkgovco9hcJMg42fm+lH3ITNY6E5+FaDIC2R
dAbjliaab+zcGq/tnma8QIdq59BKvEV7xQoNMXedTj0tT1HRUhwU9s5uxuUGSTgpw+eE2x5HWz2u
W+40sLjBcG/qfrjBhNZfyaHptqkTeUhT8NhaA1qYNUQ2L6i1sWFmNerybK2COgq5pYnA+buBIwr9
mZWjPkp+ydoYU56lrtdtpTeIZyuAmZ3F0/T7krs80ynsbNxxrA9O6SDGt0wwPvEkxp3tI6YcrV7F
9aYY7AnSdqsBivEERmnVsmnclVVlGgihV6UMgfC/bMAgBvOKQb/xCAofuQxOV3v0UFGpmZSFJFdp
psdezzU1tiINr2n3yK+oK+bdg6g6r51+mYX14S6dLAk2zfWdzxl4fEWEfKgfAfzm1x4tPbx9c0Vd
O84CLGqev7bcaPl2hW7lrAL2G/2eM7edoqiSwNe5Gcm9Tgp1TNr6nRcO84vu5xFqWuMcPWLAKwZi
zBhLYRQ3rITDJ6JQbr3CLz2ZqyyYc7FJojqhKmnIh2lVNLV+yn3tdRtZ1cR+C1g+/Q1qtXPELUVe
JWO8Ha9E34bZ9VQw3Fl5U98fi0AVErg+3mDCdG56kYz86lUfBdYFIXq4UzVxMRKwYc+WNG/SCzbl
EtGdUmRmmX1hcC4XZb8pmXncKJaDqyz0YI13fpq9ZyNUkcix22I7kls8Y6esrg3ifs1GL8pttGi4
mi1UuhEdzUfmovEq7lFvWy/Kbz/L+gyLJbyNLDoAy0Uhhv8Cv3fqsk1WDpzaX6Vk2STJ5zjAl8Qs
bxGbGc6p24YedeMjTAPk6HFRpq1XkVq/CtZBWat65yw6dj3b1WnKxPApcEPcC4veTcwahzQS+Gwo
o14Fiy5uvkrklMA4V6EHTEEPkBCkXSCm+0KFd/TqWB+KPovu9TRm4tDUTXDrOE5ZrvqpTdK1hcXt
qcCil60cEoESSAYqvr/o+WHlVYTLxNifW5wUmEvEIKmisV2kn4STOGGHxR0g+4bLgUnqv7K+I7Yb
4bCrtGqelEGR9jrwzPnaYW3exZMdH+vEGrfVgCuBtWE8xotToV88C33CTcc6z5c8QaOj96VYVMol
oe+92h3ixflAsTAmCD1ZiyGiwRuBCMl5umfucdViDH792DB3hlcZpwnGfjYvshd624Tqc2wj5w2u
A4gPRNB7VO7yGHNYuPXsUHDV7LOF3M+NKGmVGQ1q7HyW/lmm18Hk+jg5SDJoglBKGuRsRQYnyszL
bVk68c0kC713ODjwA/NoXfDYYkIYFkOJXKwlltVZmyycUJVr/onA8j3FiyGlJpl25cjKSddNGWJY
kWDu+sXEkgBd2dRZMe6XfclLuphduEsllTuvHhjn1Q8zLdYYKvhwNPM4ra9sd7HXSMDlpNebWTtb
OmwnZ4PsTk/tVIMX2IxI8e9V3Lb5tlqMOs6rZ2d69e8E+Ol90uSLr4fSYDw+bqgHztK0POxBeeIC
6hZDULRYgzgU83GFz4YT9xcD89/9ZKqHZPTlPn71FtmARWbCzKF9bl7dRwiA1sVPckT0NiyepsWm
1C6GJRw8fF6wCvAxGXacP9myyvid2JysxfDEoB01XS82KLdqxHXDcsa3aLFJBa+OKfZduKdSetG4
QbSVPCNwfWoMAQhgEhCxwWOUpxjPh2bI7hqM2nEfhTC7fTLFRlFl90NotjcUsE13DuWqWCZ6+JKq
EczS69QyiKM094E38LCm3uYcyoIePfpXLJDsSsgNEizC6+BElN/KzMEfsTAQoGAj+cZj9eJ6Fe0U
9Wx4J8TXYdlgSqumR6nwmALOrbOqh3o+urHSBSJup67bzJydFXXenbUajXmhPMZxf12JWRKCZB2J
13XuKJJOXlx/sGI9GXfA9TNn3/HQJ/dQzOC8uAdoyCpSderjmieBAz+rOiQUZIybcfBDn0erw/6r
SG33YRypFywqbTQrB3XlyqU9key2Z5d7t1BpfK7DKRmhqOkMM4s7vq9JXd1jttFPFYHdfaFwv6wS
Ej6fHUGXhouXO99XTY1AZgSZCT1ZzDwyKh12dFmV4pbARgjZvYy8C3CL8quXm060Ts3APFJUl5rr
nMD6qrE7UAIjziC7vVLuZCEE/edY93861gGjZ37194Oy66IjwPHWcvnHT30717nUqSpa39CGX/Vf
HJzfFGUHjqB2aVxyKVFbOub+NSuz7d84yVgU0LnozVRvo2f/ebKz+IVLwTIaNI3cbI1+aXZmvznZ
CcEXHDUZxZuTokZ+/PFkF0310JHKr4+SG9fdUI4p7k1gaoSpgfkVVey2+H6xkzeG9h/JltUwHnL/
ZNSRf2p4/iM1k6coTJXvidYDdKaRAhsK+/VHt8zYPYSlxBtjQsMVuD0uIid8FC/hnDEM0vcOWblt
uYQcuNd9NCsnHDdAS3pYO6hfIjDrgVCEMR9Yh9RDB7P8H8JJb4aHvANLXpNAm2XzntrL+fr7cEzM
Zo2DKuEEtprjLcKut2fPAru3bZfXxd/93S3y746sP56lX6/HuBLICENSDajix+tZBnouxfDlcViA
49QnvCxS1RIW+3PA/bc5xTd22uVK2rbQa5eWMMGo9ccrzcz6Z57uKZ4Azn4Wyzc7SQmDDgP6Q2+l
zn4KY//+l18eZWWaeQE3E1HBN/HU2LTwsbH7PHaK9XBlLLahBi+D3HSjJDT061eTTDjg7QPY1e6b
NzPw3CHKszg9CnOQyTmvs3k3KjT+SwdL/ufXEsuU47sY1fJ+eppvK0Zb0G8YRH58P8ckAOKdmNGx
CscUXTTkLL+pKrqH3Fqg2U/heOk4zl8PpDwOc6ophYHC1Pzya15CRRoTNxMhkkVvPtZUNHrKOnaM
VZcQK+NB38ATonjYUyW2vJ+/6L/eQ5JeOB7VLpQxoHNvJj81B2W7rVV8LMU8372y7luDb3CJRzU8
Tk2ExqlzICz/cN3lNvnxvZamBmPKQVkxEjPfrEtJEA9RoMr4mA9Vz6acT3Owu2EgvQ8T/+ev8c21
HMLUSODLHI2PVxBu/fFzdSJjEH1IZ1TEeR7L3ESzeWnW01UA6uXdz6+1/K7vXtfrtSRhPDKi2nSk
ePPhxRkQ1Zq923GeZhpyCnYLpzSy+z/NX3/73X9jFPrjOogrtAq+3q7Wj6+pU2lTq2KMCJ4Ak2M3
w3li5Uw5kmVvy4cwijI8tNhxo9XMAAkqUBaE55+/1jf3zvI3YLRgoYOSS1r97b3D4SyJKmBHR79v
0DsEcCcawWj89O0po0/N5Tir7Okf1vPXt/DNW2yxBCllE5W3oPT++NL7QLG783V0DOHUfqhjlZ2U
7Uw3JTLDvrZLkEmtQbHwapjGQK9Jx009iPR8/IIPqSI2j2XoBMALm+oiCfmRzz9zbPwRY/nbT+jf
/Z3S5NnO3NfDzvVWtUqk7Q+zNowDkUf1MoFgrdd9lXLM8lM1KPQOjmCrKTa0Zhc+JGcKGKalBNT3
j11SOFde6/lHnPn2jWeoRu9UHxYx5EZP9/uff5J/vWtdk3cTyU6yI/mLwGZ6UDgaWhSOmWeChEkC
urw5uzTt9ufX+es3ESAVHxmnEJd/3z4bI4Pop09j2bEARX7nRUuYL08KeYUEIx9+fq23yzm3p2tq
zfx4yeOBSn6ztE1uIxtnjFnOIQZtAtfvNyj53Ro/eIKxYom2jsN0JbpRfzKynE6rQrb/8MYKUy7f
xB9vV9dGvYQQwaaAP+fNUyWtS8Pim+EfdDfU01GnFotp6412eQy6cr5DxTNfXtsHIoDMSFxlSKtr
FCXUt8EckVfAd/yT13XTLX4GYrpNFZdANtO2i6jXoBsiDemACEl03s+p7X/tMU6/d6d0PmPUA17j
VbVabBcJ/h5XXvW1yYKLVcK6h/SjHlRYmocWs/d1SL056MIyMh4pL5jvJjDB3Spl4HTJarN9Tn2Y
iLPBNg7NlUOyN+b+18w1ZHnKswrzSY6V70Bww2kYlYYk5mxdL3uEInFA6tM/+kyduficd5n9bsDJ
R9ul32fGuiHT9zXtW2fYZC1O8G3jxuGZvEIG6IqlRdR99NKFLN5FE9AvWRiuhW2fbeMCtXaD9RB5
QbczQ+XsB4dyj02ux+aLqymiyONKf3KrAYIL/iDuN779QbJLCo/LY7I37lyrYe00m05/mnGVb8bE
C856+dmGgy5RHUlrWxUNxDE16t6jV9jTmedM+r6qpuHy+vb6CiqClYfmXWlXIdnFGcT1kfydsk+W
mYVnysKzbltBhmDS/LpawYO7ok+NFcoVo/GUFwl3JFRI8oBpKuYDsG3eu4n2cTKsphk+OmPkfOig
AhnAEM381k4svRhy+D0DCNUzrYbwqCjyeqlNjwo1v66nYO+RoJxXCPkAugPbfufmfW2tDIv3NgMZ
8JIGmbUTGLSeGTOB0uJLQ+TajzKArQODrnWbgJI0+2q8RBOi5EY7InpKVcvShMv6vZhMJ93ay32Y
DQX58Q7D1noK3TbazKNgAyMy6oqBeXEv6aydz8EwpbQicPSaiDL3UAqkgXA0Z+xzunDhAsS8AKbA
8UDQsuEG25IQKJ/DIaCLenS5ewEzjbc1xbXFoQs5MWAwNx4VZrklLORM58BI41PipltvZlCH1k8B
rJFWuzZm2h/QhrYFSy7Xk1HUBDPDCMZfnV8hnizIwzTaKKsxz8LO51NXmepga+k/Bq3eFs6S91H0
oUxcbe37Ul+yWe+TaEbfh2O3N6PY/uQSYVqVToYTdMJgmcCkosBjZuhoWWuBgL/zRozzTp2nyZp3
1XrvRf0lCvLpFAtvF4Y4GfGiFif0OtQWg2QKjC9vVWW8rDRx63WY0Dcx9WCMCM4ie0nnU43mdCZT
dKnHlu6ZHppdP7kOExILNloVvaNGh/68prSuUoJhZpfIddnmwz7xYNIBS13snaZC/4agFnnhfRNO
LyBrn8vOaLYxqMXNpDD8WcycjobpfqwW1z4Kf5mup9HlqdaV1lNmO6fZdgVMvugmVBEpAkc99r1/
VeQ6+NjiitiGzjSewjRjAXaWPVJmTTcqsu0z4ZDqTkRpczJ62kDmWV0nmoYh6MBZrMkjLYtI0PyO
qbM8TKKIqeD1e79a0boYnwQNH2Ll0/t73dFxbDHWAfLPvNea38nZsXfjkPrdtu0t7wp7ZnVho+SE
m0EtwpkmTE2gPnjHyHJ4mArJ/qFoSsrswHRN50TTMOlnGDycpHW/xFlUA1FT45FhccZF2UWf68C8
d+Uw3Othmqi27brt8vzBiFiUfbiOyiq7bVqGgppvWnpEsmQrYCWFv64n9iKJi1iV5KpZK7qkWIry
Ae+hzxNBB54+lDFHH1wIySZjm7fzZpNZFzi2cl3TaXppzPY9jYfVRiC03TjVTI9pQKYw3rSk7uMd
miYWyLJJdnmcyFuzG5ud0l3woY2D4cruxk0b+cMpHjqTmJU7eE/UCDc+nC2rWYqtauOYe3V4wn9H
sMoa3OYw9xk3ZszegSNCalAoWettNtUfc+JJOzPDJwuo1f3aOiMuVpUL69HKpP4wDrTx7E0Z0TRJ
T+LKLzr2Y/lYHcp59m5Go1J3dYpSZRc0NxltpQ+coD3QKMJqV6Xo6t9Ly3W3VB1NMEPss84c8+z5
9ZCuHU9cM0fO2cLkmnBT6t2lfgUkxLd9m8N/HDqMKWrxaECEW4s29U58qITEJE50HsL4oXOjdz6P
s9ncaYKEx7HK4dsWlbVxFbcATldiYn4g94M20p3CAgcVP3IgUzbFLUlwm9SViI9+XFkL9iHa2Fm/
rnpf7HspubG9/KwYH6z9zLNu6b6E7lNp+9oLyPnV5QwxR1Zik7lDsU9NAKPp3LjPHTzHNQtNte4b
RL612xb0mia+dPchbdNEKAekIRCXwfvcHO2bznSLizn7bPshxapVSUoemnBiFA7pzz7d00+gP0mw
jI+8tOAKH6VbbHzfSY80sE6/txzHr3H1d/ibDPD74B6Q1NGzeaYD662XyaS84cS+wAdxyvi9KE6p
mMjO9215HuIsvS2pJLi4zTge7KoJoal47iEbZ9qK3NxYYTRwr4pq9M9xh2XHCfrsZQHNqW1SetUH
B4f/TikKpjyZRRSRUUl0JF3FLClO6/e6KZ8yfjVFngXygSdnCxEBCOmziSRBONBoDIj/C97QFSAj
K/CcGwfc7JXwJ2iWBWq87KJtklmfB4Mu3agr4QPjj4BHGwTTGfmueNEi7yFVxKgdHs9ABrD0u0p8
1Ahv7a0w++YlrhPW7D86HH2vTmh07J3XfsfWfG17JHPiOivTycfwa2gQLGyjhvKLwGlzjkmt8bVS
YX4eZWndRIPs3hmB3784deR+Cjraeqnn8JDkRnN2GXxLMhka7lCe5QdDOdMJvdULtpnq4QrhdzWT
rMJS35O7jatFuRwSsWYXheHBmvSmTWkGAl7lE1tIR5u/qh0PTh6bZ2oPUozlA88MpKwpW6dgaxS7
yyIENhBDMRf+Eh2gN6vbtI5VsJxNc/Dg2rEFVQ+szlF6I48RwXSI+5KpPMTs2XiketjceUnB58ZD
YW+bZXsq56j7XHI2WtSRlNLRjHehdqMn31puZSZKJs1opUVTGur3QZm2/36Slv1sWKUB5aAbrn2X
FJzMadAV4FD3ozN676Bg07bRyfrJL52I7aTprVHg37ExhgPoKxK1SXWv7Pd0IpMwmVle/dTnpsre
0+RqrkzXuNc9oIhY54DmtbvDoqVWdY7/FnN6thrZnGy0BuMp8hrfNGdsbLEQYb0xeklSK8zXBudk
wrS0iEzQJ7CqWbtODb9TT+ztOcs76wrRYAdkWa+TTJ2sJpNrAQV0lckFDusFa6zPBgBQbmczHsXV
JDNKigWpFH5xWHTu3pqqZJVlU7on4D0+VMoK11bnBmd4qV+NEpmhmqnSVn1vnSIGu9uGaRbdrFN6
8EzGA9bYk9Ao625fAmuiMReTOmd8njpshE7EdR1i8VG1y4aWDEQ7xteJGPcJQOsVpPBxzaFaYeMb
LwO2JNhvozrIGrCJmfXAXivYTR0wTYut4O0oGhMlLcYV1zaweI1iWxrFvBeKCsis8p7qych29VSq
q7ZkdjAjfBCdviOY9BwpZ1eAwGKf4t2Q0IXbWX0asvnSQY/BnvwOgteZJZeBEabqK1XPX+MqeC88
715b+b5kN73O4/TZMyNchAlDSt16L0LS1z3Xi8vPEPJdkUbwjwvrZfQEGyuoeBs3tMA11u2GCs5d
3JU4EPSAv159znrKtayMqTbRRk4EwdB1HyjS+Tz2VJ3HHaYTGCjDevKm4IOJSW/GCe0mJ/w7QA2m
iaREZO/FvO2r6CO0qebQteG1rN6Zbt9hDKq8bdhED9oOwoMevAT2T999NKza3Y4DRqueM8x119XG
AVfB8jWfzJO0I/0REkmOoFQpF/ALDKGoUoxHh3g5TsCgHPcFgYKtiUdhAZTAfaWCwKh3YTbew1Py
vpBwmYyTUaYMdMDENq65t3prsK9Qv5sGaj2Gg1vKTJbfZ1UJkGqGzgODC7xix4BoAEV2Q4L8y1TT
iduVGadiR1U38Z+E/dBB250GRkw8Ito0RhFXK8NjaKqagSNnQulcTdfCJzdI/K8NTY/c3Q0e25XE
AwF0yOUgBRiw4FgUcNt3G7jwMJCCRdOYis7/BGXU2PpGxRmjgDIfRzPwKJ5x793Kn86GIzklR9rY
tnRDmDexIQHntgu1JOs0y9LQxPY6F8vpRERj/3s8Q6iL1SSuTUHdoAjofw4TgDFBZjDkDhwt7kUj
262SNScRFFjzpSgGJc9t2C9HXjqEpnUoy+YDoHO2DqmhzH0pYCKxt+dXGyqnJLTggI48i8VOC835
Cj7Fk0ozaxPVbP9WlMDdyhpOBSmiY14id8488o9WQm9l1Nj+yQ4lQwHcwWe308wIFqXm9Xp9SQfp
hHPk6CswaZwTCKTB1Pn4+p94bkagWnHsfyXWaQjoBwt003OTtZzBoPcwJXDt4TJAWt8YHDbReuZc
PdBSNp0xDMuVGbbV7nVQXKb0y1pjQdFjUpOeyaKShqSIcgjD40/MQoA28Lzyvcpk84HqO15AFPMb
WUdmXHkdQK8oFR+zzuRTzxMQg/4w1sda5uNtMrLfpY8RBFDSQRgs6WBfjyavy8mYhZeSY1/V05q9
llNc7dmqcbbvulTXdEr6tFhEM1MRhpcsBh19Ur6JF7xwegnV3TezjPsfltQ1bfLlM8M/qL9JzETR
na+8um7IeaUe/C2eHaTm82Audm0yDM51CqTuRmIIuSriGYVslgyv/Dk5vd53BoyqXR/zCdgzgXUy
yfNd2DaEffpxIe50IVlHA/F4QW46813aLe9J2qGyCf4vn9V4U2jYR4oh5doRVJVSMZnvyTW3hKMB
YOkJnDZBOcpb4OLS5M4d0DpLowTsfX5hGquHwPKMrRdSB4mVudm0mtrTMdfmR2BS8w4HQn18LYss
i5Z3S1ChQRDf1tO55xdBRK89uakGw/wYwlKNN0mbePuo4b4PDbbXsIegP70OngSRyq+zcBgqxfAP
7ZlLxqNRPDNKzG3S91b/rrXwYXt065360C+e/RCu5ITXDd52yFfYsTu0STDuJ78UxXOiG0xh1WjY
cGD61MQ1kPrinsMBrzDHItqRPgwSdsB4F/ZeHlnXnFvqDxBO+Q8yM01OXcHb1DeQAIeElsfXL6zV
JOGXbM7KZ8rBufTYNf0pbSf/2DJyzVadS9n7TFtDYDKRayt+zquj5IrF96WTDb2IIuLo0Zafc9Ol
UxQxb9/0Nd2fLZ9O2/p82Ue+gX43eUwscm/f1lStBoWazjYj8HOZAUarB7ys61nN4iqFbHPJbeWf
ZGrzl7ecfOQmZzncm7Zk+IEs6m7kchcMRB6uZSkZKZDWgPFG/069GryOu0TP5ktgxoDwlGsUeERK
b6+LWoK653SKA5D10XN4p6ADGI9gpv2vGsx1tvLa5R6sl04xDfbphMkMPp5LIv9g6AVg6WqOfRQ7
9L+7inPymgPG+LEpovFp7N2FiMWGvGaUWgZbCl2xn1ggE69F0+c34dB2j5E5uF/K3vG/RsWIe1iG
6QTXiieTEw3VbpJ6IsdL5PHYe5X/KVYLO68BZgE3uWDAvUnL6Bso8T9kqX9KBC1w1++m539pyjo/
R/nvP5jX//iJP00OijwPDGVH2Rb6APcf+sGfJgctAEvx/MCIDr7RXQL13/JA+jdHugz64ejyyADs
+C+Pg4P9QS75ImRkD0EA+8MvuNffigqoCRyY+T1oUbjX1Rs9aPJAYbXT4iDwt5O3ldOZ1Np378bt
H9P677tJ/3oJTB5Sumwf+ZNxUvwoOSEhLZtDOoTBl6+S2V0ZEy3Qirf0X+aS/4+rLH/F5+d7cqDN
f/+X+H/EcMdRhlxF50+N8VSMv7fy18wJiJI/vpA38qSOCoejO5fo5jtt3kFnruaXn7+K5Vd8r3cA
MaOFiC4ph6p713orXyvspXlvuPVhcFwaSwwONVFZ3GVZtZchM9GfX+0vn8zr1TyBdkWuQr3VdvUo
xxYDYn2YioC9CfLAKso0RV5BmW5+/VK4LADbSCirnNt//HjMRpUjDzNeWOgGj2PsVPQI9OJs0rP4
D4r1W2V1eQ8F02C2J57HFd98TCKRdI7YXCqv8+46SdvkQFX0tPbHeVxVwZjtCY1Ov3pvcFFaTISN
k4kcxtuLyojKJANG02FKeBctRjArVTO8oNPZ+R/2zmw5Tibd2ldEB5CMpzWi0mzJku0TQrYlZkiS
mav/H9S9/22XKlTx9fE+6O7obn+mgMwk833XetaZ+zvuXi/3Z4KAw0WFSsZyjh5lJjQ5S6mpoJig
Ja7ykMgZrSb1IjOR7MNyqe/kRHJKls/xdZeP45nrL/P1eIyaoPDoIhP9ah6rD6bIkrGeRU3gFWC4
nZIbdOrh6+fjZbmJ44sImPDeIuegE2n+PV5Go2qn1jdVQMamsXeHeEhWkSvCm9wkGHWesOITBDFu
K4VY//NLnxo/AoYJCjPWLKJq/760b1ujEZlCBQhtJ0ovNrbjVJvghmg6+CiOmDYcS7KCPr8sxOeP
sx85u8XNmnwUDONYb9bkGpi5vlawP0v1q0L5MUBYhsbNkXYO7BDOHsZANk55x+680bvd2AheAcWO
/TT2wz6RSj2Z8SyMNTv4dKNa9960i97ecAwdrnySdygMkG4t2rHfGYCnH5C/cvBaYsAfp6WK7qZu
etk4PZ21ijqhR5aM5zUQ9ow+6FK1xpUQ6xxCEchmmhtf51JOMNq6auUQdEYtoeMkoOfupY7RiNYw
ZIZVbE/xtV5rDlu3HBOFTk8k1myAVlHRMVDHNt/gdumuOr+Yv0JlzTfwRk0M2PUvB14mMgPShjyt
JlXUnbH/mc2VlZnt17GcrPsBI+peo1y9rYRKOeEscV+dYe2ajDXUHaVx7VHc26bCGuH5jv0X4bb8
JewFr9wZ2Hw1eyYpAVNjXIfAFYOKuuA6qrr4Pkz74Zffgg/rZ9FR5glHhgG593stmV+H0gm/xRIR
1wa08PwVXYItoHkZr0qNWr6mg96+abU1xusxzdsn30y8GAVWa933eFrW7vKAEXBdV1ToCOVqF6Dg
ZDs4AsL2CowKOeIJrPRtiNMbykkDhAvEnIv4ONVu0sh6bRsEycPUdr/TefxqzearDznm+2iCO7A6
LfnWZhBA9Imez0rFTKRysF6Xw7C/iongCNKaFSOlr09cSzi3T53O31eM/I50dLND4dvNU7IM/Xys
3cvC62I240O4FbbCF4UYGUSCmV5Epeg3vpJqh6FC3+NkmakHk6G29gk22npEvnIGz0mMt+nXBdRR
uIA5k49ep+1+KLwsSO20f4Ag3j202P0pM/kNAwPe130eIe3W8zA7oGgBtaVV3bZHNHLr+TzOVb3E
JRa0cTYm26abdvDT9CKlQwuXGSvpaoRTFq47xUEIJ0xEXz7RH9KSmJ4VIDf7Fip3uo+jSN8blgp/
hnBqgNmYWnhjDj7tpSymm73YHAiYpMZ/O8WKtM5octbQf6zDJFV9VWtLXaOY+wvHl85dqAltjypf
3LlERF0Nlv0UFjVHI2wTaM/tXqfxSu3xolYtXoVuhNeAVzr82SI+wMI1VO1KaJ22r+gEv1lp5r1R
2W7XDUSzSwWB6Wfs68Y26moLiiKRBFutaX1aQf7yPEL4GBtjHn/ntGnTddOP+TaOkCkYjTEFZGyZ
V3kUWY+UDeZtOHlAB4jsMvaeW6q9jSfom2eGPS4cO77Xi1oPesANzsbqRk70btLTo6HB8cvIgNPU
RVfcdIT8vCgA7tdlF/m3+HTEI+d/2sl4mbTtWJOuOZhEOoqemhB+Fe8uTVT5MsX2cK8mQP1jGrc3
Y1M7V8bISRpcjH2ZEaSzN2qbaIGpdR4kDpJNiy4MVCFF+rWtE6mxquEBgRk2w/ZeEaZZrsAaZuSV
OY69QfpTYfcb9DcrcdpiFedV/FDjAv9tz04TGD2LUAaQfs/QQLcAd3UnJ9ns24pss00jk2bDhhIf
hG7Vl/ngYFeJqzp+nDnsRauIGL2lzBY7BNdgYkdNMB/4tdGjCXD4MJG1dknbcFrndpjU69QpdQhx
RepfeBwWdtgFHMQAEQEZjU95hDICVIjFdhhnCcAbRzAmaBBQ4fL1dgvFT138u6AU1960Q32vbd2w
C/G/6bm/7qEr4+Kr2OCYFEjuSjYBP4FftCxjfXZP3hK9rlSf1i2rwI8k8WeytVw3AOTWv+J6J64b
wdnle7lkqIhTXXnoq17IzzV+4k5Da5BzbH9rfMQxUwNuD70gta6lumKWjg2pibIIgjFyLWbbXQpg
iJkbj5ZW72WcRBnD7/BTb2MZ0dKUXS5J25+iKgVY4swmk2O7yJeaetY2z+7YNhuOvfxRSwlt+x4m
8F7JMxvo5TSEOPVacfXUJ0Wxf49MoBgXbpPZ0PlWL8SXmg6GPi7n/Kp7wQzcXgBs9zIcUKm98cJM
Xz7vGYun6m98+k0UqmKILcrwk2snw75kaG3kr2iUj0FFW89cedQhL/DdQByh6lwcYEtRBnArh8xf
2mNzQDoFP1gfAXr7pN8+GFj1vr2LNBJrKcq+K7lt6YHsHhYU/yw7LgveIzyMYOpXhqKW9Q6xl4mD
mlMbefWegIFQuVRAu1zEv9+LQdlSqCqUY1+GMJuoTzQomGtixpj9mrfnIKouhNSyp8HH41gSpfGw
oMi39hJh4bUUFaP30vHysWt8mp9aShl1cCj0CoOqSeXTiY0pJ98JNVkvhDDm21IywDHTZIeZEb1G
vwkqx9LLVyLQugskH81jkznzEwMpunNiLbpt084nM5IOrmOhG0+ULEn4Fs63lrNou+oSM7zKB7Je
/130MUNtvIP4DdFd0/vXvgy1r4UrQ4q3bWpsPM35z3vK2pGQcJ0fO1pi2OmWNG4ohZJpD03lDhMY
TcXcBDZgj8n3smu8e7/qx52Gs/ZZdJP13CvNek5tOd3wpXJ2cR1rmylJtA1lRdoHYVhdz5GmvlQA
EbamggcBkXi8eX/qLdmnCKk879Zc4JtlWfHha9JLWyGfqCvgCGWHTa9iIO5GiJCXLu3Tbemn7UUx
tWIrwcNSKdYtJrHrT4eOEtpt6BnRBWofOq7vY3n2DAR+muWxr/BIUQOHeOM2ZbilgxnBTsTTt6Lk
k93qdVpcODSVvvkh1sw2RFULJJOPIQ4gXv+MVyFrSPszcKjhsfRFAUqCcp49G0tFErVTNhHdEdfT
hSnD8tZV87xJKhv0ImKX6UlH1meTfgmobAaCQ709869yYGIQg930Figm/iZB3dvqCtoHAwkKhjvQ
UlByvK3dhk+3G+OCd+uKquQ4F262gd4RJivPiP0t36b+wlcoFFah1dD7bvPSWJOdUD12iFB3HQsO
e6DSxXJtmS1BZZgoVOf0GCKo3U6DIQ818rEdSn9tAqhcao//TmnCe8iO2YLFl/c0APT3EIbWlsTJ
vsuyvb6m2SeXUAmjzJ90uizbQlKUFn5i/HzXQVlEUm+sYSAtwPeonY4JATiatcgFEYxsE4ThNLiR
+qnMdQ/OYE1br50UaDOTKqmYejRyhe/gg2p7RHyrkrjDe92hE4pTLadsHPJfHi2tjkj+pKh71bUa
DC7+6F0q8K5BXK7DgHhZa5/oYr7AhObshzrZL3d068ajuabuGd8QkkFSQ5cUD+aYEZrooVaYZazt
Odu3aiXsyfwxlZOX8m2oHyAqoZPNEu2SZvldh69/BaGTuMpUe/WIZtoZVvmNtBwDoOwUXnEb2SbX
K1ZOO2rUzvPUsK2owO7DkJZxyb7kEt2fQhla6+6WHWJMj9oGaxiT4UwZcp01TvHLLbVflPtvR4Ao
O3McimXfVl/gESQrdk4ehyqe18rTooDVas+D6Ndo0UnSRMJDC9z7ppUYXmCjVDTmCe3ceMOCcBT0
GnWvRV5jSyjgruR+8aNa7KpMx2LFRh0gw2tZxhHxN2RhO0mOqLsSfQcdJY1/RB053RkgGdLPu7Hf
jt5cPUgsMYQgRHqNjs6ML+PUkXcloa7ftIj8b77qBQ5BSR++dxGHGijkNrkns4uun+aDSeoqqQ5x
FxA8aaMJiGrrzvLUfJdGjnqQYMi2iH9cWv+jKjbO7Djb0VVAJVUc7wmfT3d9nVGN0/PkAH9gorfW
kkGk5uLSgNZHSye3fbUZqkiQ3+x1Y5ZdNuVPtvfGd5LLvGvD71p9rUy7uu/rFDqOWXXDXThP1UU7
0WAiEZOsdQ81lFkUOvI4zLdLeCdvkcRw+6cVW/Ww7iEN3lpGm96XNtmCHW6o745if7Uajdi8mTy/
/Q62wD1kOJWfw8ldMiPhYj7pyxfSMQpJt8uLg7Esu8s48azruGjaZxz2dgBwbDjkdtRfDtqU/Wqt
FJVRbPByq64N73pXFr+LBqZj7xjWC33UCnstdISDAdvlCjI/1RWsQvQ5+tLirNsAmJm01voqSrfY
Iu0xaGHhbb2ptOk1613vm1m5JXqe2VtHUT7v0GmSukpAOLCEeKaLSgZRt+q0ETTSpFjJ0jwNUtnn
JJO5Oq+Xr+1h4lSBglzMIHe8TdTIeYOd9FHLaUmXLQUtVvkVNVtvU/q0rDNDPiuRik3m0NJBMOLW
2NrZGe8r3ykeq6yorto5Ny+UQrzBfr5AGoVLN5NepwWiGbQi4LjkaK8ESSIWG0DrGZ3jPRFaWcIo
Rc/AKWZYmVoSfqUR0l7xUczv2CqmL6Mhqq9pndXfZCdHdy813KyrJKyTDNLAgvUFxU0wrtaW95Yw
hnL93p7IlEOIQKeG9NCb3Ws0eLTvqexejb5XXgp2tr9KCb6XgEdsNVp2M1c9jIJGaPm+RW24piFc
XRGCBOMN22p7QyEwuknZDK1SK0+brefZNVo/B2mqAhzI/P8NoA/DNd80f9Xhv0Uo0c4HYMTdXYaP
amPhK3oaVSP4cIFHMsoivG+kqH5SBvthpc3wA0Hkw0w8grVzablsNLot+7SeWdmlJtZMtfwBYBfI
EqSh6out502xDh0UfHGn7+aehHWUjBbu78rax2CorswMMvuK8EroQ4CMA6De0U+6Tw1yCb1a2UID
uRGN7iNHHb4niJN/hAW4axn5z9ZoDZe6NMw9fwshz2PdPliJ9dvNPXXbU9TC0Bb2uz5D98Zzm9Jr
35+Hfa9cnhhQwD3IkVFRX+GhiNB9dvvYekz6Cn5GlzBhlY9hu2RPNcWOv7M1e9+K2LzjDPLEgpzd
jnJ2DjXq0lU7tM5W5mX4UvnZvM7piVEmFOmNA8Mfq7HGKcZU7G6hxNTkPw/llxJOBjtcjXpz0V60
3lTch4nm3Lm1TrB56pg3RtyLNyMCE1mlRGSrLokOIfTS29Ie46vczuwHMtH9EhHzDKD2e1oCyYiz
Zl+w3G57KQARtKN+H4adA3YTQ0HVZtV+wrn+0LLirroRa7zv9/pe5d1j1IHkHl3dOYiomvbtoH7E
fukGaRTzxWIjeGAh1YJC+P0VWzn3MJBudNNEdcb+tyrfupbs0k3eyp8C3f/3xms7BEARIvOflZ6m
+qUhu/DSG8J0Q7VkYLA15mNnauO01oj08G+SXEXmuirrelwJgpXtXV1SRl57sUJZM6n8sSz8EgXS
5O/jZDHyUMJ6RAH9Oo7oi3UIVUhRhDro8/CLIO6ClqVZrNlUcUiqERMRz5xeFIlvLKjaQEOTdmD+
2/AxnacCMd3aCmHksivMN5Q7fjUk5G0qfSL8OeX7Og1D0I3Oi8sRZEznK1vp9+yhHCpnlIm0zjN+
WX4+XFqVLbZOTWANGB51G4VG0Pta+BY7wr6D9GbeN6P/Vo+W9hQx9b6S1qXijd1UNa1xNYabxjOW
9Ay72uv+2AFdqcsNQDeI7PgRzniUPlZBycCzdD7QlLixwNP6+rOTIxrfqdyE+qtbE+VkFP1XKJ1z
EDmcbn2XQv7ndddTTRCMwnhrgFMTsnJUaY5UrRvogbhc09qPtVnvOQEAm4Dpe6bd8sFUs1TuoU6Z
FttwOi76cWV5nv9T1HbmbvjVvBfpp7D7DT50XGkkfuCXQO/ieLP+EofLiXKgHvf57Z6q3hNI47iO
JfCgfugeuKKd8QIodPmRdW/DA7mWEXXSz69y6qHyCpcatk7j89hda+FJ6ayCHsx7O6QnIQB18TQC
AE7lmfd36oYshAOeRSQtLcblp/zR+MvIXobjNNBZIq58g3buB1miPz6/nXPXOGopJTaAOWarChBR
E6ej9pZXnHO8LS//uOPB+AOAxFC03Q+Dw0+9QZmtCiQfsOuo082DCYuR8Jwh+RZrtFqQKOkLhRRK
jUDth4HvXGvn49QTmJKpozL/fM4vy3P441latkQ+WPlwsA3IvC1kpTWU0/oq11KUP9IvN//0uXI9
MpV8FlO82Mdzr2Zv5U2YfoKiHFmlnOkeOJJ7Zj35OBYFPXTgcNR3TISyRxPcj0i+JqKoDuDHAq6S
VbLGU3DlphQ0P7+dE1fiJjzbBfSBr8k9GiZ+kyTzNHlVwNKGaklrLokdepQqffr8Oidek+Fapo5h
bmkTv0dF/fGaHFlkwlduFcyJvlX5i+bl6zQrF8HV4fMrfSTIeeDq/rjUUbORg6qzODewCvU+1bvS
ilbkGv07YgZLVl/OXydwz3vQfaHa1FbrbXTYm98d9q3bdjbbbUoLaG82nKULJaiCFRaCL9tLJRQ2
0qyiIZ6vw5zNoFWXArEoJWM2V+02N8k8Org9iYND1VHGmvDtrjlrA2xykvnMjUJVPZ5+tDIp7utM
AAPvytHaDL1aE37Z8UybuH32i1K/MXrvy+Q4yUsxd5B285wmSo4SCa/7ziX+iMaVc+HgC0ps2jNG
LTPExF+LkN1R68TI/IsvcvBIMOZ0WVRZvW0Qia/qBBB+qFKBDnOo0Gj1cM21VOvWo1VZAQ2uYdO2
ePS4TrrhHO9eZRZahjQDwjKyXm/8aFjPbjRuyB/KfZ6WCQLHnxv9p7sIuz4fASfGmomfHwUH3yy+
+0u39I+xFhZ9TRt24rmkcN17wxcXvPUxiFKFSJ4griH4/IIfO79CYFG2bBw8EDyOO794Evp+kEUV
+F4L9SupyO0FDnPlCNnuQy9qr2LqL4/Q26LLz698YvrS1tYXWiRSjw/iCxVNvRZ3Tol7cJq+9Q6J
JsToGo8Y1dPXzy914ibp8rIaceDhX8c9dJojbDqnrgyKXlEaxdBBZuhCUcdqoi4ckpO9dUOXDbqr
SeXu84ufuE/2VQRl6O+E4mPruUu6DWfPsgyakKTLeiCFcfF6kx+u/vE2wFoWKRI1UbX49jE+hINg
E2EczQMsR8/TRBy6Seozs0iIfzxM2W4gmEIYhQzjg19cQlHsor7LaS52w2Z2qL6I9HYYbGfH6fP3
P32Ali64MdOwIDCQx/f3nIiSXJZWXnNbdiEC7LxlRSOBwm6Ti+wc0eLjBORibG3YGth0tY4/XzUN
4tjpCu5Msx5joT1jT/udjuIRQeCZPcgyl//egnAp9DkOt8aa/+7G/mOuEzSRTKVGNxZb4lZQMPEr
EqPdvJ8h5+Hmyc1zu9HTV4T/g4xtmXTHnxdLuh6G5Cyojf6Q+fKlmoxHoQiQ6mCzwMo0r/75q2Pj
vRCxgVrQ8vn71dnQVnDfulmgdd1hyvvAsjJSO/Qzl/m4YbR0G8c6YCN4KOaxsqr39DFJ+KsDglMW
QzjgMjnyRfz8Zj6uIlzF0NlsgHJwPpj0cciMRGMYWaAEx1qOe2hKuze3dO7TuqWrRlajmKozq+SC
Q/8wSpaFA327DZnhGM1AUAIOgBhVlW/jYx9yn7N4KTNk5j6turmkk9VMS9QyhjlCs0CDSmrfurtv
xzq6yGkm7cgPeZwnu/6CEBe6gJRsDpZtQb2YENDGOF99E8gDjkD7zK8/+WKWICI6AniGjl8Mfck4
p7yZB5Soym06kW6vjRQ7Pn8xH1dYXgy6Stc3QBN/2HIWVs1nJKryoGxdCGlVH+iZ8ei57bldy6lX
QQIYqkrAE5xhj0azm4tS1iUL0SgF3ewwvhgdfdx9fjenViCHLQD4BQ7lPLu/rzKDLRqjTstQEOBo
6V0+UxgA0dQ3+U/0+v98F82ZEZkon4yFkXR8QsX77kB1ZIpOWfh7eXYqce4LFT5/flenJs8CRnaR
5HIwOB7GY0OK0FwxefLE9u6yyaDOHtq/qbhWOxXZ3q8hh7CDiqU586k6teYhJLXYVyMZ/HDooX6i
x8LqsyACTtqWGg4KQsTTJ5nOD0zEM1c7NeA59pgMdk6WH9SCwBDQkWFdDmQks33h2O79YOLK/Pxh
fuC1wD/SeYjEz1uGQOZ8tK76nTl2NnW3wOsG/SmJ9WpHPBGilFT0OQV6d/iaGl617qq2v62nMrux
c1fsYw9h14yJje4SgR1GjcccfwZN2a5Lz51ujZNP3uWEzcyEZXa88VFho9tDUfC1GS1qhW39YrQ+
AHrhNReJ6z0TlyTXLnk0V3lJOnY29GRT+9WPmLbu7Czuy6GwLqgi+Stn0iRYXO7j8wd5Yq7R2GIL
6roCtsDxBzF3+Q3JyHZ7KOffcjbanS5RVIU5Tezp5fNrnXgcxrvQ0F4Uq+y6/57XJvQJHZQ/W/vQ
+K1TcNgUtv7STASauCS2YtJy2jM7jBOTzjAo27Oj4Yv1YYvdq3waVVRxe6n9LU4iaBy07ilmqnkl
cGd+rdVQb2jJ9sE/v1cYZf5SkWKDeLxSWiQgJMprqoCz2g0eP0J3VX6PLJm0tyx6msgEPbP3PfUm
2bJRBgDC7rOUHT1dh5ZDYxHzrulRvYbFS2uyFO39APQgKBwO0p/f4YlvDjfIHmqJiWazeDQDi1BZ
cVLxaMc+QsJtqWGj11W9Ecji/ptL+bjfPYcNI7iuv29NulbSFiVHNMOvyjugy7g13da5TDrDOLN8
nRqjggm1+BAWyfPRGO3RxZQzlYGgKbpHqB6vtl0/ktGgVklU33uY2v/x4YgFDNOFCYgMHfnxBDRG
Cu5mM5fBbM4Ifdzhi+rURlIHOHOhEwsz2mLdhm/ENsT0l/f5x2Zbzrj19JAjYB7Zz9E47r25fjwz
JAR/x9GG/q9rHI0JXyOfz7K4BqpeYwXBVR5A1NhfzM4BIpMPDU9Rxxo1KAltLI2+VoOCc2vTsOlA
uFL865BElQntHovcIk0YBsAG3NCJaNWBzK343vSJ+CsnHFqh1Mt90aDQ4HQ7rdHChRex7aHW1kfM
isZCM4Jqa3yZ/QLFRWnA06iKRu31nrAWDlBjdAu4ld1htZjD4YLfxqMb7wl7mS5yDKM3vYiL615T
feBl/mNSZc2aJ5ztCmpFpI6jFgpQKBGOMsxyG3axjWIwG64qSyRQjtJu9/njPTU2+Yq7BuNELJTS
v98g6JO6nRzGJlrBl3psX7xY3lpC24miwlQLrfzz652a4ey52exRvkcZf3Q9O55KsrCnMgDdvdSc
bgYzuxja8szm9aO/YCGeovBnb0KZzj+6DMCRWKjRJ4BPz+6lTBTCIe9XnX2lE3VNV3rd2eaPSJVn
jkzH8Z0WWwiuS5WWJ8rh+nhD5kswWHKwqYlU0/wtJoVv5SlLu0ftrudbGueccWq7gEeQ9fUmJ5yC
DlfJQl6b/YWN1NdOB+1C6J22M1qrXIeowxhwco/xgzaWn/60DYDkw4geCCRNtPFbgwR7qPmbyAgf
zAwfvzfb9Qrno5XhKsSel/J7QD/IV4Tfxh15nsCsRyx4OLr434vZXsdNm25d2AVPtbDPvYpTb9wB
QAvlljKDWLKk/lwjEr2xizIjCxGA2ER3aTUN+j4z2v7MyDq1Fv1xneONUS97Yi7BXgWevZCTqTes
ifbYfj58T30QHWh99BXot0El/ftm9NqUVQ22KaDp5K2nxbKow5nPIPDHzXTGdHbyYtQrObOQpvVh
2+soFqMyZ65osUOYCOAEaD87ZGAIKtvkzOM7tRA4lP35WmDZ+7D5zadJOClSikCl6h4gGvnG4fRc
5eq1TTBvxc6ZJ2mcGhcupyQOsHip3OM+zdzInOfLPi0dc2gis2kcvFkNFya1+E0ltDiwZI3jW/ri
S6KHcTBFKJujKiH6L/KynV9Z01cXXwAa7TACWfX5mz7581gQKSNRv/WPF8ZhDBsti9nmDLV8FX70
FJv9Qy5oJv8X13E9ToocfxffzN8jqum1KZaIcgJOopJqTvtSTtqwqTp15kN6atu6oG0psSz/5h7N
QzH4yLgRYAUtwvG4Qec2lPeqsgHDG7ekoz0WuX+mUHFqAP9xyeMNazpbOUIdvQjIDdoT2/DqWzkK
V+egqv7MmUOcGr8LiJtaNLhtakl/P8d2CTeYR7dgmTGnH20s32ACkriaG96a8m20XvgAhALp5Tap
F8GxZizyLIXyB7TRMyle8XNYQ7XqTGTLWFswG8SteiDVF/xvmeeEzzTebnQH78mzWTUBWjWoJrRm
JPpmKW1W5ps+mGja4SGMUv+RVt0NnkS5hfb/mnj9sComkWy7YjIfJMpLPvamfWY0nXoK/uLUpcTB
uD1uwOa5bMjilez85Hwxt7OxanXrGfP4JTVTQpen4cwFT73ixZ6BY9Cl2Hr82GVqRFPNZihIapgD
veyU3L3TCUQEXGfVLMLUzyfMiVvku764jeGws3M/OpP4zuSBHBF5AKXR2sZqcq7LmB3alFbNcwqn
mUSq+Ofn13zXaxxtQtHemDxUpihH26PRFWlTTmc2LwKnmP11PHTOgxUb/boUk30ZV3n+BIMN9oGF
ZOtdp+zF4B+KbgaIhZZorw3g/M48euNEERNVAlWfZdV2P5x9o9GeZdgzo5s5RM8mImuHKk3smlA1
e5jLYsVIQT5lg0EkIWk90ZNBfm2dQxGLE2vl4gtHjgEzm0ab+ffc05FGOEWbFPiWUzAq7+LmRIC+
QGBZ2pe8LveiTZEk4rOAUpZTRDa0gj4qPJH+bhCDvpumENzEO1++nfVvbIvLfTwwpLBNkJY8+vYe
Xe7rhCKTJbvfWk4abxEMWhullW0QO7W7HePO3XjRpVll4iET5XjLtMWJMjERnmOv8w+57n7XgYKd
OZifun86YHjQ3aVDf1w4otyW5k0ruP88Gx/AlCJIc8bkOTG0ePf5SDx1KdSXaA1wo/PZONqA0HSC
R758loCQxhtZe4ulZ5TZwY/z6Pnza72/t+NRv1R/BadXPoPHx/9Sc/JuKBIOBz0wnhUxVBOOj9ky
9qGsehiruXFpVHp4147mcGOaWnRvthrcEpHLvSzBubz/oP/DN5zBNyxNTo7F/x8lcALf0DQvv+IO
iFbb/Ilx+M8/+T8YB/9frJlA12l7CA4of2IcxL9sVE5U0TwbE70tWGz+h+Ng/ottA0OAf4xaGrvR
/+U4GP+ivsfmlIqNs9iM/1EK4cexvTRZqWoaBBLy646WEV9MyHGlJgMyNN/iKmLZ9KpwlXgc7/94
Onf/HsKf4hy4F5PCIDVUlF0fTr05ueUWbFquZGLbQD/+Q5bVuCIRpjtTITl1T1yDai01NNR5y///
R4UkarUQ/Dq00nbIOvAw+m3Tk3Hn1POZz+KJC6F5Qqq2LED6h+10z1z0KzWDRW2ytyzP3ohIfUv5
z3/85LiMzTGXgzXls6N3hCYEbYk9yoDagL/1vbpeLQkU62xM/otHx1hl1aHrTv/puBiI3bOwsFRI
mBuFuhrh1WIPNb0rVaZnbsrhJfy9zlGNoFLGmU7Q1Dg+1bk9iGGy4GQQD3CjnG76MkXjE26cJ9lD
NPr8CX7ch3MxQasLeYbj+8d6ArBzFXOzkoFfN3B2mgKTPqSyVaUlL6CsoTtiF1wZE2bZzy98aoTQ
M0Rg+L6FOX51jqo6M49LGcg6qR46JL3wLjHYoYsTZ+bX8hX68ECpv7AqsAdlVv896ucu7SZEL5IO
NSQAKLHTlkjN8OG/uKE/rrLsj/6YWx5bkV7rcq7ijxg/1fjUFwTjEn/5Xz26P650NOoHYjiqvuRK
cd5NG2dMX2Zw0uvz0+ujvJZzINA9oioQZQCwP9rdRh06bkuj1dVSykTg3lQrEIwAzoX1rYZihyQE
mqCXxubOBtO1RlV0ph9rvye4/P32aLJ5HoPT9S3kUst0+eO5VmFhe0UlCz77ZrWReq+BIZfteDdb
xbT1Q73aGL4ydlic7UBXY7VJc+FvRW2Vh76m27geKggsHg3XtapKRONxUgA9DsXFQtfZdW72NiGF
vYhmo7+WLpRhwLeNszL9ql5Vkj9CtFux1bPBXHd8tAJ3rIv7Sfnmc+aa1YUdpuGPvuinzVCMdhC6
WPWrCejWkDKlMnfEtd9MRKutoAp7m76OrIu2pVfeZXm5ZTdaPmBTsw54aYZfdciHxmgdfjuGn/sp
tapL6MZ9uo5dL662k5WTfItJkA4gv0djn/RShNx0Bul2V/mRvI3Mudq0iM84b4owJNuRcBo4LaKF
+omNcFfrqLHTGq6WRhrAutC5u7lg7YRq3a7dtjSJ1GR9i6MEfxemDvyDBL1yiq3gyVK5PVhFn+zp
MFWXhg5d1Cvw0Hk+/HsSSc3nKO7tyzEy0h+RV+VPzpChiWqE/F47hfkccu9y5WI0/C4Lq5v5TX2I
MMWVfksS28RyMzoWZl7NUvlTM+CiBodW3ENUa3+EPBrcY7W8dbr0TTd4px0uimcSnd7GZggfWmeu
LoZldY6bprqccrbfO5VDV2F58fMYo7wzfkGoal3wUWnXAP+TfR/lYsVOJFmc710Jfgw978rqouQm
EtKHvxiVbw6Ejhsg3zzELqeGaWqD563eZ17ewC3AKO9dgRgvtxkEkGeK5UAXLJChRS2jR2/GVARv
Jcl++Fgc4Y0OEI7tOC0wUxAggr9VOfk+KU1dXhtdL/2NE4f9tziUmr81jb7xkD8Cdl85eqmuAOPM
zx72gcexzIo304XOzj1OW1xT4UK+rAMLvuNTxeR+FDCW0jVOBtiTyrLBAyEw6TGgjYV/pdA5UMo1
eQVtOGbgwYmiIPkvyjSaiI7/1NSKaWdBJ1z3Fl/ZGe8mFhm5uHzwm8RPNNyjnu5Gmb74VBx2YNT6
awSuRrRKfODOTR+OXwbl999mNWd7FNEtHQlNmckuhQUzb+fUy+oVkZhDtwK4afxE39L8NmfmlqWF
k7HJB7v52pNv9D1Kofu5U84yPlb8WNVp4kDcTkLI8QDB28h4E3YcZT/qyCwP5A6XWzU25hrk6hvR
pP4VeZziwA+BCYo9bKNNTT1s4sKJb3Bwj1vSgBc7H2+oE3x9EW/n69hTwO/IinhIe4XHL5Zj/FpK
3w7KzAGm6sRQTC2j+yabifDposKz7ncMhBm2NAaaBJAoxfRaw0PYGPkee+5r2yl3EzfjAwj5oK36
n108JYeidMxtF0Kg5Wvs3scdk9Io+Vm6kffXfav8bZQxz+kxhyDu3OzZA8p4iYNkB46bjM95lO26
GLImw5CaJivR5gxqVsXxLs7ltCm71L8V7Gt3tcaszzrSoXtiMlaiAdsyK1Y3SLv9/v+xd2a7cSNb
l36Xvo8Ch+B00TdkzimlZtnyDSFPJIPzPDx9f1T1aZSlAxvV1z8OUDDgY1HJJCN27L3W+vR1668k
n9vI1WvSCvfGZcD8mk2Yv82h0+kljfqjAgp9mnqeKETE4ZfeC5k8Z3O5GZhwba124TXKiZJFlLHa
M0RDhCouPxHEZMXc6XZT+1LLXi2LhbJpWD+wuTt3S0IKgAEuYhM6UAywh/XuHS7e5kofSSgiAYrH
kDjqmkjyvN8omDVBbvTlxh65dFOWzSHBmBRgphi/xYwQqiIr8BK2uB/RPG6bJLtB+lru4pEIjLjN
q5u2Xkv70ijPmV7xMI11DBM51yVzDe5OEnqwQGzQ2W+rLnyLly519R/ayGo1rM+IpS36JQ275KKs
KdoNoM5Y4yhmfCE6i2gZa9cSaRDgO4NDbC6siF05BcNil0/JxB1anLAgWNtpAjbcEaVZx8qdaU2D
ZssuHocqCglALArYQH1+1/asPSJi9Rg9Xvp0gAo2gKrcmYT5+1ExJBczNLSvnt5350EAWEjL/sZN
2+zQ2tqwVzFNx9yLxHXXJDcmRKjPQqn2Zp7i7jpUyyf80eMnN53djTsjaZWLbh0WCDnbIoYGSlZW
eJulL06N3zYx459ltPpRuuSJ9/m5GTTSplEhkpKSEzGumQzx5pYw7RICCIv7V2GVoCIcNr21bXYU
SQy9pGDlbQpWHC13dRIbdcJUF77S6u9FlsgDmnl8BzuOf6R62wQHsW8XAV6VqT/QvZTNvog939Dj
avS71lPkamcZi5ninFnziCgvXxF/6Ur50siZrpx1KkreFeyKegEuXpk0aMyo7jSCSMZ6DZgwntrc
yE9jbcKQcjqtCkq3r09wYftNr9M9zTZhPaEIOs+jQUgsm0/WsP7lzhje18aIB44oV7zjMhny+AT8
1MS/TuLJ4J7kQDqoD+XXhBHLcYBWlb9gQ/jZziomMWRI8x+VhaBCTyLnOLlOpRN4TToC1Y2lAQ2Z
WNdnd22EkEPSdbeF7WA7VhKXf9C6kaLdFzdyQ9KSPuSsPe0XN9XSLiCO82FU5oQZV7cjKoQ5lIlf
OfNwKjKVbkjO/SrdHsqDUoQLAo+XFs0jw+b9YuEY7sBZi5VIIgA6OKBphTTmPe+pYfqlItykB/96
MGokbVMdvqaxlZK4ZaRkq9COJpCDlF2SWC+AXAl5mCLyswpp9BCGM3O58LpG36LMQT+W6q3wM4dg
X5UJcUwmS3N3TpSzvkmb5VtGVCcc2OToj/jyrE3FBz6k9InywJ2tP4GpPvYW14KY1D2LkSoq0fen
wArxPPFzfXqI81ye+qHNf5YmBlN/7MaWUHYIGShFiL2lD6b07rKivX09ZYpd6ZRVSZO/snEVJ9eo
3c1scNRpk6og4H7urbPE6H5VMPG6Su3Wg11QJ5Xf9aF1iFZZuUnwUrmVTh4+YDaSr6ZNg9L3+M/e
FbpzN4c6y204T0gBkkR9eVsDi4JMtmBcUuOPDd/1mPFLYQ4PlFaMpoGSMkyE278W5u1CWlPfatmB
RG7WXmMEUI3JymHGTM1ENFNymRmckb6+UGOlHllmLH7WmdZklODq/tO5+UMrfv19aNigAkTb/UEh
7EQkIqGpyw5NrpO7Bc4oZX8ZHYiqWX8fzmz5vz/xfTio8zAgueJKEIxpO707HbVysPJorDKy0ClI
C8KD2KwpTYoiLs9CEg7w++t9HFKuF3Sgh8FjNc0PkquiodiTdrqK/8lsWrMByk3SgrnaKB4sKHPe
NgVNdGNb7nj7tgXDNWMiHxujvot1SE0E3lmvpGAM+4nQoX97zsaKyawLCTNvCPfl3f1AuTHajJKS
g8d5e2+JqDxXcvzTO/ihY8FVaFRgt8BFhbDh3XmwT/ohtIsywRJG5Wojo0UrbQPVMDyKfDslUmRW
VO6EFw+ff/8FGGun4NdHnvoA2veaYgjJ9v1ZFMKgRHA3Mgxuxyg8ZLL0rkQYel/ynrqU+H9rvvGE
5T2DLntOvbkGgWCN224eiI/ryiJO1sUOLnMNlsDcRl1FLQdp/UDx612psmi/1+GaYy9CdHR/d1z+
p1/9p341IkUekt/0q5NvCCNfi19a1X//o/9glY2/mCPxkus83Q4qTdbC/2CVtb/Q6epkWNI8ozNu
M8n+T6va/QvhIKMKCDroM1GU/7NVTfwZdoa1dclLg8f2X0QOv5fh0tkiJlWiBGEyAuj3/cinniCj
1Vmrn4tKDh1YHsBb06GxOKWTcF6g1yjjmXAMlepipN7EPEGCfQwkofUq65UMusLQN2QKrrWJpewF
3xJ+HKnOkbFS2Lyw4N0CPcQo7x93+vbvd+efve93ayi0mdUlvg6HWTiQsbx7m922h4LVLM0Z/+10
r8eFCCxqpKt5cLQLUSYcS39/QXaCX1/iFYaqMXSQhObSVeKe/bpviSQjyasvo7Nte1dkzhMRlA1s
9XuEfVGtEb0p6oPeaNWLh7K0noJeDo48eDYLz86KCFU5gvtc08YGjF8+kZU0MYyObC+3SBxzWwKN
vkWPrj9mBkbZvQyL8kwWAYY0Gips2XoaNrZfNzAKAwuzdbqLxoJ7LexhugeaxaELsPwr4WdlCznH
5VIevYBo2zjhWvFbJOPi2BS0BGy+ESrbru37HRKRGRBcYjw2uslDMJqs9Y3J3jsj1sUN1xHr1bg0
EQInSuZoiyRhjLZ0VKZbLZYZZtM4Mh51nSROP3FaPhuRIvWLiAkUjOyRX2Mib3Miq9KoXoxhJAPD
BsER30xxzm8E7Nk8ssvG01NTrxkwnHgN/dFQsd4yBWUicUE76IgdgA+7+myYfRGfuqbl+YsgR9DL
Is7hfmkK4xGTrDF9ImkeEqFpdNy5pMUj6s+cmcpjU7mUdwMO5IXYEcGls2rgb6ueuNUtAXwUVNNS
k9YviKSIb8FB0c4riR2L6RKYfH6svdYrYMDwuZ85cAw9qCTfGwEKbWqsEai1+NFaW3OT4OHxLdiS
UdfneGSvPcgFXsOW+2j2gZWscfkJML8RB0dXLw/zUvK1Dqs7+4xaI4tPy/qVOOvN8QiL4fsja+Xs
1YLGRpJ1wglITBmvYziAd8LVYuJDJ15e5udE4tRkbWILgUyTERhId8NvUEE7mxKe9laGTrTJ4HOR
QzVO86PdGd2F3YeDUa5I/yI5sC9fI9VZ1/Mc2c9icPTLOFTZLZFu0atBZ+JA41i6QWIUzmsRpcOn
ygT0s9MXHtl4hI0wjEPnBrFaC+qcyFAgT5NtTVtCrr1ngWCzuzPgptoba3B4bIbG4faOSW43N1o3
WYz/rUgUyFX62gRaPUuXLF2O7FKAusonvrvEpEj4Oau5r174Y65+ogec7pNco79gMzIPyohnpAXf
0AccW/XH2Vi/+SyFzOaLcOS7Tcclo4dJ/OsLd4aXCygEL2ValWO4azVAc58BLE73lI+8CGJxuMGJ
gdBpn5I/c7aMhZZkOLUctgdFw1CFxnTL8KI+9GQ2TVcm6aYRwYQ9V6FDpRaMLS19uWlS3Bfy4KEV
9ATWnUEmGM1juixCPBOgu9RXndGI5naePH6TjHp4fFpyznBPidTy9D4cVHOYctHUdCJN87hAzRj8
Zc65lxzouJeTNnIK8LyIG8EMqjmEmZtNVA2ExJyqGtVp8PYgp5PgiyNXkffYHtaXomskP2UaTdbQ
QpbGY9ILHVSF7sb25ylze+NGhR4LhRvpafnNMUcdRKJLox9pCdcUULEnwvuiRn1p9GaMIH71Uffd
DN0u/dSwQujE8IaL1dyUeVHYLrWNCL2tkxH1tzVSZE4+tkF1amtwhWg+G/2iYE9Nn9w+rNMfllMY
Bg2guY7I4dMGw7jJ2X+W2jd6gr2OYWGAh8HrZWvaMTZMDuj4YmmuCyTWX5JpQWudRO6lQAnx2Rr6
cM0IfHDQ6o8BkM/+aS5nsSX8EkhoWbWB2Ufx0cy8cENXPIHrkyCC0k19JsvZya0DbRd7lTYr4B70
sDnb7CSn70IxBJhBS2Yw36rK1Z5b8GiBmWtfBH0Wv4Oa6adzQapePE7ugUCt6GvWhs6PKSJMHKZE
cUOAzFU/NvW8TWHg3pHGEn2xzKHY5mxSG8o+856hW/FFl3G+MwqNXg+pzATIQ0S59SJSDJ0q5bBI
CnB2nVRR9mSo1vE9re2A0nScv4cJzTixfwShjdXNkC35lUV7YduPTnbHsl59UV4fPwwyux0dbVL7
pibeqZ5J4dGoO/cDOKiHqLWzJww5bbRruqK4wnJI8zWtF2BUXroj4wJeLe5mIgAdWick15aPbDrV
58LKq3ijlrbYuYlWfopte721pPCAJbD6IrAd+DiVPZmQkoacEDqn/Zk04F6yXsqDsfq1yD02LiTi
OXITQ0AjR2ymHNisnCC6oXm5d7N6XqdcZnlco/p2kaXfqbCs9hpSmw2pQtVnlTa0fkCf2MeC4/Cw
nXOnv9SdDB+8Krb3ol1SIp5Q4hEPsLjofGz7IuKuPrNgzwcErvNxFLqHWC0dgZM2JOQZsg/qflaH
uGjtxyEZlu+alqkzjOfl3BSN96dg/3fnWOoTnEr87+1QicPs3TGqLnPTJUGaCNOuopdRrD3V0WQT
koJ+rNKG8gzgszn8vi56NyR9u+qq4sGPSNQ/PrpfqyIZLrETj5Z3qjNW0QQ/Sh1UnUGN8fvrvJv7
vl0HUxuuR6q9VfXw63Vghtt960XhSdKkZk3VGtbsYqperClkwfj3F1tHvtxOHEofJEM677CIKAJP
bkbLuCxjeXzTB4ik97a/v9THQpZDOcJZanEN/dv7QXoNFLUiXpZcLWBdl6Kn9LYQudKG68pzu6ow
//X1oKPjdiT+ziZI4t1QG+cfr22WWwRmxuHz31sQwGd2DKtYRxptQlDQH27nu6M33x0fbhXsQoLg
y3tfrM95JDuv6eSpIXx58Envp/hhQWUHLqaV2LMiW8xA5AN/1mgoT//6IWUKZ3GftTXSH9f5rw9P
WUji1bPUPvV9ssYTCfM46eOf/NgfXwWugnbOwwBsGZxMfr1KFhpjESatfQJBSN5SUiR7x/2jVvW/
XYUDJTT4VXfxYbZud6AvLcFneVNe2AnjGzzH/x+PCXwcUO8upx2Om+/uWFozmiUz1DoZYZOQGIw1
j1z+kYE4kg790lXTsPzhSPdx/WJNZw3jY+Ew47K/3j64l+E8ZrY8iTK0P+s9IfWLNlCK9DgitgWg
QIOM6oVH5PdvxMeVBSEikhnCKjB6fngj8LcnEGqJkE173u6wZJ3sbAQzi7LdPzhr/stH5OFA2kQN
jgD3/WLpEI7FpXLjNBFzGZBTUZ6XlvFkJtfu83qCm9an5t9/PjwILsI2679kZAwaELMY4tAps5Gx
FDmShUxz4z0HnT++6W9dtH90unjVPboTKLel4znuxzdtnXlqrCeMSlvP9ZWeW7jaHC27B0DdXEqF
dodeM2XyNFLXMXib28tQD1O4Y34lOVyUTAsjo/2Out+k6lwKhu9uald/smN/XHhxo5iYIliRUP29
d24UiTUmswh5wnN6pkESJtXLSn1rfZz0PGrKo6z//Tehf3x3Vys9dSWtSARo7/uAUUa/JGSPOwlX
UOtOrsn5gci57rvb6GyZcPXW510l+qXus/plGIiH3piJN93XrVFnZFL2y0oUHpN9N+sgJX//C/63
e7IqJ9GpmXx3b33Mf2hmtLqNF7ho1ilfXIpuzVJf9IhJOWkqReIz/PpTG+fDu4eocH0baOXwiJJ0
8us7X0MRpugnqxfEGvGymmIkMtcFj+m0jjd+/+n+28XoG5FJQ0LHx9A/pBQeBmCividMnreqIEBb
a11OOZZWcUr6/cU+fNV8MtTUUl8N1ixn7+qiPBV61YbaTFK7xcEySjqeLF5ETom/v9D7FBCksCyX
a/GAnpEt/X1lRBZ9MtmVM1JBNHF7q3GG6wPhth0+QexW7blSA50QGUl0JmPM1C2rSLGnl7xug2U9
3cdJSp9AjByWGPYt1cviMD/WhE0ri66XudNI0+F4XoOw3L8BJLqi9Mr83y7Eb1kTjMnY1xB/vi+F
EpKxKwdq6slYmB+PTCnOOSPzfaTBQ/v9TfvwoHMpngHJKICW3oeJSBdpRjdMcXNqkBMfXWIYMjLj
YdcS5FKeV6rBn/qH6+71j4WRnj/rIRgl/gue98O3VCw5MduNJU82kQc/iB0YTo0Mvee3hojtEEEJ
wywD5jtNxh82AOP9IyJXkSZiTZMrrzNIy/z1NZMZAgN0Luqk63SSlo2mXBtn8Uz6pWkEuMTcr7ae
pnIzlAx7L16EFIKY7yg5GN2MkoIw1Ple63O6iEu69mtqMu84WPQNf14cnqMmt1u17/n5tw4Uu4Kf
BNPl4KEHYkycQgC5s1TLjH99vKArUT3MXUNo/AA4ufUNu8WYPE60xtqQ4e05pXGEfqIeotUMwQj4
mnDUtNlAs83vRroNl8buBMjsxL4lqUgse2KlGe4OXbHgFa8NjQxmpZGm7Fg9jB3wxVddCvUWqRmG
702J34cD9JKciP/VAzlkFsSXXo9rQmT7mpxJet/aMJav5qJWVTVwGppHfaVn+vcRIDJNcaF4X7yp
Wpuhc5TGt8M88WcHiG95tEl8x7/SkCd/IEWFU1FRL/ztUjv/t/iE70rnxcvWuqaueNfiIrPmn3TL
wS+nEHs5uM/N5KXHyBXTfUVmf3yLSigj1zmqh+6uRXyTb5Dz8HaXel6l9+WCnGTT9J1e7xhBTvcp
UV1XkW2X6T0igPY7HAw+xYjaY/lh2kUvr5taX1tRI/HE/qQl/EM+uvVqjfy6DxXCZmaDhpJXA3dz
oKPR05tLYKlOO7uauTx9EDpX3RLTCHfz2Ta3iAf5iT0yNBRZo1kc60n14mGCZrIEdbqwa4HwlrRw
4sxsjZtiHKzuXk/IQt+kPC7xLedVqJz67IxVgHxPHoehaeEV9N0ggqUqKrLBjdXJvkQ8QQV8YlSX
zpg4V3II9fEYw3wK2Vd15Cxlk9HTckl0W/YTriHDZ1pOl5GJ89Q86oXVZHvgRjxg+K/IVRZJw97w
VgfQs+fpWyKbVkNsM4U76bZjzmfyaCdyWklxn3563RLeugto6b9bcFbW88uY8aQ/SmVYr0kYx+G2
hdCEVPrttbJXyRzMDPM4OqZyXwtiN8iQJxX8UZ/0mCkou2IdGB3ChqCxLZ6i2rVXsVlmcV+Ndu2Z
m6rtvyJOHofdhDDx9u/RDAGVr6FlroVEJKnt3NJB5amrtRPb0J73K6I3DhPEmCV42/4cu6fJGNO7
cq4sKDaLn2rJpOAip1p7RufDa5pXgklDNkturAwHae6UZ0TJXVvU/CK6Ru9kV2VGS2a1Xk9f+skx
xUCjx0rTe7ckY+famjL90VaqkAH0p2T+4QomGVv04oa8m/WKLnA8UxuTOamPTs5+zBgA7HZMu4Jn
RTLNQZYpO9P5RGGeAoGzmq5kiJsBwRXKD0OEAgFLuAX9vGnp1s8ZTckdHbTFpSWB2uyUaxrJ8JAj
ps6lQbb0gxr/3vH/Z076xzkpb80/tt+Pvp6kKH60Zff666D07V/9Z1Dq/cUxk4MD49DVvIAF5/8N
Sp03dw7pU2+z0LcZ6n8Gpd5fZJ4wVwf0uB7dHDbdFi5B/L//lzT/WpmTFqpi8hmAT/67QSmJI7/u
34TwcggmQYwDw+qmfpO8/6M0NpEF5GQZaOdCE2Vc98BfbLGZ9CIkzVafqm0KvrX0Z3MAvjaRz0HM
d9WZpI9nDvCKJSmYM83t9YRkyitRVSOWm5ZMymfdo7rajK3+NXKN6CmfeidIItv6NEjZXRP43t0u
eAjDXVIqsnFKpI7X0chfwmSYvGovVEzuXKeKs6OmBYErpLamM7+KUYbzmWnU5NJgMbqrQXmyeDLT
sHeuWoA0Gvg6e+wRaeXmyq1bh7dGOzEbKzXfU6jm5pYEx7SdN2ajmSjJzf4FNefIrKkfcnGdmom1
1gLEfexSvtsH3LK5HZgGimMcm2HypMczskLmXzBFEkV7VdpW+x2/cv1gy944tk4X741JgUhDjwjU
LAlarU7INqOtv1dGAgrRTG9txQTzwP/FvJ4RjOabbjITKE8mYSMok81tp4vXKYUq6GoqH4/sFmwU
hWduiUz1kEu64AhoVNbWduGYea9rmXU9eMyj9K539GPveTWn/sULn5fcdR4qxwofm2423CM2DFNs
VFtZ2TlrJSszhBD1eRibmBQWwwlSJF/cg2rwayLzT7ZXZueucriXfT4ma2UTMhue5/Hc9V3kBiKq
4q2T2Mt9XUQy0fYhHK5DqtsEXTR0i4xuxAUMuB569TzExM7XaufOYXiQZW58rhZzzkHniOXRy5xM
+l00OslBCs3NnglW6ouniPQeR9v27LGT2JJC77XtntnIrLXHOLIKkn9VZiX6a9QuTcQ3B2LGItVj
m7cyMOpKXgBLjdtJC5Hxo8o+0rsGEBHa0NglitC0HFWQWE3ky7LOg9j2OgTVXev6a3QvMAXLGLcZ
cAWCc10SB4XzmE7WJreMY9Q319YKwFnGxQfje5H1UhNjAqdlAqfppMWuoDJ9EiK+m1Bs+Q2X2SFP
Bso4zC+6NsJhc5JwFw7zA930FnIf8RiLXaurOhfasbJkuuvC2jh5OGr9lHJ22wpEtbmckpOklbQb
3TI5i2xejhpcJL6gzHiCKval6FwZ1Hrk+EDwBKpUNezKwum6E4Eg6khV9rWhmjg1kCDPBGb3m2XJ
SX2u5j3js6CVVb+TS8X9EfUmyUURRLXwBFJJFUNJin9YS/0ZQwRQdqYPmOe0BRVek7oBfsVxg/gp
ugLeQBhHQlRKTQZdlwhYZGWi+4wZwkA2Sr/lt1dnZc2iYfDYVUcEHv2PatVou/BQ0DjG4wGaEv4R
NsgiWrpDWdcIV62H2szu4TheLXpIXdprK/jxMbGBoGitd3Ki8b71kiMHFWPjavM2Utz9iPRkd5BP
bV3v3Xm6VhAZfM/qp11TZTDlQoZpUSifbZTJKw2j3eh59iOTWgPiaITIB33nIRGEXcDECbwOGkbN
WHmaE/daVujdVU7gvka2tk+AiLyD/sZwa2oKhqPDyLNV4b3n+7DJrc7bQMRef3Cb7Nvi4OGlyPdO
UJxIhG6YmJGArC6x16kDGql4w1uh30VxfTdAOxEuH2opi8vkSvWaratZ2odOhQepFeeqMuR9YtT2
qay6OOALo6QhsgOdcvwZRCrljDH9jLtcP0ROyxElqTOfEEiilRhcnlCtmduWZf2uM8fKjxbbO6bK
uQ/t5o4xuLZjmXDPpRKjE0Bm6z6xrvQbY3DCwa/MTl2UAW6u7tJur/FF7bSy7ploWfG9OU3edTNp
qBtEB9oO2lFkQGP1ehTX+Q4YBqxBVTmEwrb3LcQh7lDs489UO2WmJr9eKV9jmVxSM2Z3qImtTnVS
jlX3mOFB2Bn5Ej6M6XhdiboJJhBDT8hanqzIoz8vhtd28T7bkXE0esvmOe4rAp6yyUcXuGvH5lja
au8ZKuQu1vJi6FG9H93mWwGhZWs1S3sgxeKxIuOVBzhlkpHH2XC26lG7xLp533vVVdbGz3YK48nI
lq1GForPSrvFMvNFeiOjV2kF6bqWVsK9dVtz3yZqup/46pBYD4S5sYy6X9Iw0j9ncB42jenwqgnJ
idUZrpElbwE4nTgddztrqI1zYyvXr4cKDiRpgnGQzpm7RwW+HOOyO5BxcBqSMN13mZYEkScqRpVi
x2aWBUvoIVBFK8yxUPbyG7CwjgUbVe9lXjR5F+dScBJu6uusx08yjwMYSWXFX6vJlsFo9FdTUrMn
jNmTLodDAdnOGxY2VuVh02m6B6C3F6xx+bdhKgjcnj8rJ822A58H4UCZBiRXJOdhNo+ITfSdjENy
ySNQi5cJyNaA7LyuNj2nsLOVWNFuFubst31kvoRlX8Eq1sFlCYaz1dZNWZmG3CxuIzGghy6b2A46
9rUqIXZoLi21Id2u2hV91V8ZURGi8jA4vPRa4oemeIrFuG7PY7Qpbc8XrnUZMfI+I9YobrSoGghD
nzOJUndeVH9fKOEevTZdTtNgPslJq76SGgZdLMzRRuxAVJorblInRk7Kch4O7LPGdui8b7kYbvXY
QaEux+6+tYrbsRCCAyRQnDnub/Dqfmobs9mBXSlP9WJ/cluCWaYEHKZA/ELjctgYRVZ/YXmVhxGt
+qta9GaLDgooI5G9W1UO8d7ObBh4QMOCPJV82HZ48SLSiQrNFdfAeNJnDGajT7yK+9MmWXPTM8b3
rdjMXkvXmR+cUSAk6d0XM7WqIHdz59kBpLYRoa0FGKzUYxEVGnoKmqeeQ1yEaWK7m+T6EvGFKd+c
zHRXM//mvebXizjBbHP1vWrSr7MmnHvPK4ZPZjsAzerjC5Y0C9sBW7ajKh21ekLaIIfiRvqV1mRn
5NXlQfW9pEYoomvdyA5dGqaBsJxqy4CjvEccUQMccuP+DgqRe1gcu/4kFu8AE2l6HPCk7UBvekng
LWlyVXTd9zp1v7E6Z3glbW/DGa5/SpR+tgvT21cefhsLkdcW+xEbBIfrDcEmQxBbBu0XUSoDpQWx
bwQK11dKb+G5de18leMJO4ylPm2cuP6WRWR2g99N9NuqGvQHFsgWwVhvAkC1uzHO9rKI0FXkMmXz
akXxUjO6PEdAmncZteDz6qiZsVhk7moqmM2HPDb1rzRU7K9A0cBxLitDNIzx1dA2B6HIPTews6F1
whGDL/Hk9Ivwkx5HgWnchBxUTN7booHvHTOqz6k8MHQlQxQToaPTlzw3aCR2aT5ED7Dg6GVdU2gF
eTE8N95yRNb+nTGWva8rUs1y5mX4s6JVnAJAbZksz2eT3POtnSwloQ5ykt1kZan8SfZfhk7iQlqq
HoReaEIqw2TUhDX7X1oeYllU/hxWnY/OLTuYCA38uFE4MGCUh415UbEykQnBRskq2z0ncY6MsGPe
lDoeMrN4lw3Qt8gskXtN/9pnMQUTegjwEOETXafcz2pjEwpp4iSsSCO0GhwlKmR4OxdbpyYjqOC5
y7HH+QzW9KAURYXde9igL6pZThLLR0A5+G2NxXdJ4y+jBzOAAn8HiFz4uVc9YWUot6QooAxK8jMQ
iXmjdBcR3URpiLYNbGDkVOyJWXksS3nvIS7Z25H5LSv6J1Q11o2woTjnnFOMzpp3EzrIoKm6TSVn
aF2V1VyLBq56swjjmaEbDK4sz5+mDuAYvUy2uhmcj9Ih8pkl2pCYgapvqJLOGthzjJcootBpBUkZ
Jt/TRt/okwMNFfHmdspsf9aINrQnN3xy9OwKy5e8NBIXal8XPyl+Wz+N262uljKIRWrwlQ5IHduY
SKE+f2qkAoSFSXSH09jbSnLYKLpdSPZCZddpxOIyY9XeeZpVX2w3/Kq1DQl5EC728ZhOd/WMFNJr
bT0gzYeqR8c0oVXqUkxzf8EnE+QlzMClbdaeiTZfcC+dBIHVeKJKM3CGgQG854xXTH2/l5w3Ml28
GO7yGlX23tHb/opj7szNSFHWLMfQTYctqrR9Fv8Ubk0ys91qV3qrqkOdNrcgNM7FFLM8xrUbIF7Q
dlXF8RYxnbk3u2FvlJZOt0qd4T2xgSoNu6n7ZDkxsT7J8jo5/bewj76WZcrzU5p3fXftlOFTOSxw
aaci+iKEQX66zI5dsixBZDpXi+d+disMe55X7lM2Rx/SbXUJQwPPUaHpV1JWd4pwzEC0Sgu6Hs6o
n7qRhs+uHCnPxG1v14Prp/m0sCWokI/LTlAjPaji3eySQdzwBH+Zm/iHmWKYMMNx9mPTaBt/lNhu
/djKX7JSES6ZJHpOgLJBcttUmhkFXolB04ib4m5EVnkYxFSvfth0rxIRNUFlNFoclJgxXzBXINOj
+ckhp6qfxt7NaHTGw5GqOsVjHhd76RVyV81LdMaabO+aon+cmwVFdendeG6vbotE6D+tpO3PS5zY
p8p0m4ORzempL8N5B0O8eZQF5iu3MV45w6vrtJAc8CPtBhfOEAxtGV2ZdOyCHgX7NS1jua0XElDN
Ese5gii4Gxwpdh1TjU2TRBQABZqvwpSbCN0gbmTmdUnbrbS1WTDegookCb+3K2VujTgLb2xkwgQK
zV/dnDZ8bjiIdjPuGEUtkHJy8xo1H0kURbY4Dhfkd5QVbYwQNfW+4NtJNrXroPvMY0S5lVVQBjXL
Zkz58a2H25F3J4Kix+OajzsCjIiCBMbKDEXt4lLLjtSNRycvUGpn+bBbA4m2rOYQIXOr2Gb4yxW2
Fw5T7n2vhNxzFKbjYk7qZUg9+H6h1NJrtmp2oZHTwmVuvTN5aa5fkea6MUDUQ9/NA0HL2y91o8Zi
3Gp4S7Lk0KbgMJsGzC1KQu3cpXV3akvzZ73012TyQ97mbGEsyUVndd9CsM9vVcPXWK6ERi81tnqW
jYFAVebbZdJtUvTc51Gq28RA3JiW+XVkO8+l67V76uuahEEe/3aadoWu7UH5DPjDLc4yZJXu+pSJ
gkC4ifCx+7GUFUrC7nqmf+83c0iH20QTDMmSeUYR5CIv/LGL+XgZ7RqzDdAWsypbWnggIww9eFpZ
FC3zaeRNDfo1IE3rO9ZIgmUhCAxfB0d9TRzr6Mr6dkJ5fUza2dhwhDyzRD8T9lXsZD9tOWrxJNPl
D7qhxYenJ9oFZoixd6eRNsrCpkvPF9W2fo9T9+iqfrsMdhrUNdZmDjr/h70z240bS7Puq/QLMMGZ
PMCP/yLmQREaLMuSbwhZtnjIw3k+fPpedFVWZ9qJdBfQNw10oYZ02XJIEeThN+y99lx8ql2Dsck4
juHOZsbM2flg61jzEw3dVn1PIw5H6BK0g51hAn2qVj0TgY0VJeNJkhaw8tziS9GV4j6NDT7I0NvX
Yy03KA7njygq7shM6ODgWfbGac1d10Jwdon1BFRWesbGzwK9osFJH/NIfgut+trO9lmF/qtj2UzF
XzsrJ0M3fG8GTQhrmOC5JamSmG2xqdNibaVVusFV9V51MH4zQ32WtSG39TL6X+zOyiaINZtDZiVz
KuJNUTALkNZM2YJtOi3Tu0ZyQK/bvvEnZL5ucJv3g30yqOkrZLVEP4wDTflQ64Y/xJMcwXuO/rOq
t0U7Fc1GdgF7ff9c5dYZo//aTyd2N5PK+h1THBQ4WU9C6WwFNU9oXfcQBOZm72LKFSssEs0xyWoW
IJxq3YrdYePllMY1JtSJirx7NHBbtrs8RO25aww1NmuHFVt59ukRNMeH3WPmd4VV26uC98iLKmYO
vaHNmx4LzJdWTYHq8N6LlonFP9bN/9Pz+v238vqaf2v/3/IXv1FccM7J7v//+ZftP34dfyuX6fef
fgE6Ien0ff+t0Q/fWlKyfzfsLH/yv/ub//Ht+9/yy0k8+92/n8S3bcK/YQX/eRb//et+n8VjPzKR
ZCx21YVi9UfTkvUbyy6wWjbain8O4R3+8Z9Dd8f8DVcSykJhI2j0Ay/8d9xJP27MhbfM2vE5wQVE
O/gjU7Q3O/CDg4zZHxbzxcwbvXfgCicrl9hza2PGsnmDIVC/VcSY/wIfw3Lhz/N+ZKYesTQ4X33H
ESinln3AH+b9jKJrT5HWcMxTUtuDWM07w265L+ccsZ3XSRP4swerAq8OD0Gr1gSLD6VdoAQv9cc5
WhgMOBBsJvYKwv1KWJqlpoqQPjFBVJuA3IKXuVLNbK/aNOnnc5QEuue+rOytgwHoIoLYPPBdcsBq
CQz6Oshi+BakIVvymoC7XSMdgdMHecgDtpBg3aQR8PJxZBkZ8P1WjtT7AGXNqfQm3je/mIobvk14
v6STVa+krM071KkKvAPrSI1YmYeNdKnnD5mu4r75YEENME4hFZ5Ffcqn9HWIndjfjSKgsjaHKE62
eR9PDY85aXgv0hTY/rHEiE6ey85h8b8aqafHu9oOYEcGcTjG11kYMtyVJH3EDyRg+uhLVF67INBz
bNp2y8xsY0jTIWXZXf5kbEkRPE+Nqoo9Y1PUNIaiy/C15NSMrBY7izWGsxPC8fAtQqFWuR+ZAV6p
Iv6Szzq+HQJdbktzzphOB7quVsyqwue5nzqDE3mctqy7g33vz5uOXy2b/+bNS+vhGlCytmtlxs4h
Q19BDwBMaIwgrDQEQYQi2+dNbl4Qb7FGFruqGcIUXKvPs46KpHbr6o6MW5sLpgpMTNnEsBtaRPeD
r6ePPEjVsymhsQdZIdcOtpt1lyjvm1FM6QMKHug7YqoJsTbEThZWQhKwcF5Sj7HNyIZ0kwRNcUxE
0Z3cCHevZWUPEh/+/TAhw0dnS5YYyIK9YY0+xUdxnIR+DDhol1hj0X7xSit6yEl42Ux06EcVk6Bn
jl1+Rq/XbltMNWvsWBnVuF+sasOS+3gqxZsfK+afDcl5dwNWntd44NFPAaLNq9AhD6cutYwT7Gq+
SpuFed+0zMjHGlqcY2ePqVHZL74fV/HadtVbAmrmyQ+5qVzwUDvKCfcY01YzIJ/yY+OM3yKQta8z
k8utqEjcXXEmdK+MF7fpzDrbkqO7UtV4Hlzp3WagKnbOMIMe8HG/HxoW4UfMP/4lKgNS2e0+vFpB
MVIyjt1RpCo74rkVdBhl+9ji7rt1Rq88KCd3ziMGtiuuGXZqceUBYJfWFcJO+lwXMn3hE83209Q7
576cs0NfFNVVwQp+qwBvLBnycXBKGme+q71uoKlC3Ik7xhpWURUGVDQdi27DYGRvOFNyIfbWuRez
6YME4JY4ZFMTsToIk+RU0Pje9gxEbobGST4h4ZiGlaNH81KpIbl0UtWPPeiCD0BGqxMOrWJrTIl4
YZqaPjWD3507r4RByqA8Jf04mO2dlcuctGERHaENj/tuJlXaTEW4a+rBe/cGECkImvSnKbUJhRLG
sVBVfuy86ILtqdjAKDJX4/f1WREfbVGdtWdqRqoOhbHbf+2LEYmCIg3JRGm3Kjy6Nctqh32TFMHO
lsS4z5Nff6kirz+b9ZjsMhcUhV+4431a0vZKYgsOZdM790iC9XMPtegN9+JwzxsS3U6oUD6xAbDA
soz5hvuk25T5lB5GnKf7yk19kFR9qT5CzM/QBVncLcaCig9U9dUx2HjMYc70YopMZzv5k7uq86a7
CyzUmUxGNaHN9iBXIa38+2xLVjgmXk0uZRopBh6P1aSGC2ivu4o55dUu7fjZDrn/Z0/Uu8nRyB9M
nZgXP1HmRXRKXA02d/d6GnoeFCRy3ZTlgvPJptus7qtsZXGjIk2PIW4wYCYTfewompEAnaqSlgYn
AgCm3ikufc2oKHA4api24vtE8GDXrvXB1yzX1iaYxnVb+/oN3x3R5aMRNgkFb5oeWnBFX9hUstRL
1YlnCULnurQ/p7Tsx6z1UJaSSfFoNWn7EJNYfUX3xSCtR5K2gjRbf2yLXjBqDubLQGH6WpU9K2LL
Gh+ypGSayN0T3BTjqL9qJn56jUAJylHhjScjzod91FrDdega52Rn9uL1qeunEXrP3eTRf2gXmYmT
TPKeJ1v14ou+/BJ2RfCuERqxaOlaTJYi/sr0I93iTWOOB8tohKdy1lPrbWCEdgwa+T7XwmjpFEjy
Hldmmw2vFUiYDFclnta1PxvoQ6RbP5H10W3LAF8WDOwkWnt+qt4LF+0TFO36UxgXvr91yzj/4sRx
uC/qKbr0VhSeh7AAKzLNzVGKkJG4gk2jbZ5vTPO67Nq5prhNw7y9KEt3256UG4LUDMg4HRqX1FXM
yrOATnYo+k+wqFEtVcyVWR0a7OhbZ+zvq7gNb2ZD6G+m02f9woPicQ1RLj5nY2c8Sun5L/A8OHoU
yx1qbnIql0Ob4KZ5johkMMPylj2qcwU3T4AmkcwbFWbaWqWRF+6DjgEd18SYQI4RBh5gi0glODTh
q0KavjMT5xX3S3kx4sL7EDIIR+IzOTdjJ1yOQW3fIZwz13FUXJYPENePY+3nroemUyQbkdb2BQRR
eoxteAqNLMq7Mradj0HYDdspMBgh16W3N/yUISbK4C06RBurWELeZulU2IDN9j7wYvetk03Wrayu
mjf9OIgPlocgoahbe2eiZXoEniddetXKvVNRHQELGSZxn8VFsEcyWq5H07kJo2bkY89dExUF41nX
n06is8MtWrP6G6AmuwNSwxg66urgwOKrIjay1esi0u1dNWcVWWRVfYBSaB8mIiXWs8dqZxxnMe8j
qwk+UQvYj5MjUsA1nhO8h7nRv+Rl6O0iVT17dRZsjVTcO3bTpvx8ZkfdAZQPwM3ILCXtUrg+VWMc
fWQXmKsZ2UY8tOv5LamaHCRpEo0nu582XsnjjSiXmEvTpZ1KlXcXUZvuLNJ/zr2v3JStdhOkG4dI
ypQln9tfnbivabqbJwjG+S1+XLdaR6yq9jzvit0AjIYJAW2ZkVjBwS6z8DawgomnQpC8UKD5TJtT
hum1jg59lUZssJWwV4HVWOroZbG15srGFEiAs1w37pR6eLJKytehxa1Iq/fgN41cjbMzHn1T42VU
NcvRDJEyF4cIGKvOkumnsvfK5FhBeEMxPVGpFqvONscPg5nFH01VZh9dmxrQRazgrllz1beV6sR5
Vkveb+xFRzOo0LDEQAjQWZQ8wRhXR0dwH0yKsFKmp7RD3sEqz0p6SkxRHug74/abA7awFXgwUdIj
U3Dq8CYaPLVBIdacvIzNMVZ558KAVl9FzRBYqAQaR1xPJ1mM8zam8H+embCnrv8Y+wCbeju54iuw
+CndU64C63OCAJkZC9z9OkJKsQpynC3zYB81SZSrYZTOpu6Ndls582sjNWMT4z6sGCYKOfibDFM8
Y3Q2Q2VXjHsTUPhaweSaaBHOSWbl24ykID4WZ9eDsFnTJfcbJ6O4MbLkdnAT59J67ovVshCdhq5f
xUplG6VC5pB5xhuTj+whckYTaLOqFWrB4sTG3GH3F+5kXOgTC49bqV37yWmwq67DqczXpl80Owuf
1Xo2Jpz0qnc2c6np/0mfDhjerOYkdV60YU8MPRFE5ID/ROQFt5Mv1bryC7SWXH6vBvENePejRzgE
/qEC2XdieG5eZJ4lmyEe3fUcNjzmWpkckyrAdtl28xpVvbfWbj+uqrKLrwUe+p1Qqb71TH64NMy2
ydzl9AlV0zGIROHxh475L8gTP7elvo3gg50h3IyfI0ZkxOgi6cPkmOYtbZ0xBaxG5pBT2uuV/8E1
CzpSaqmCR7apfmHQ+MHCQFfqQ8q3iWMOPYKOFj7JH7tSVGRsYeYqOVpT2bzNKdk/VZJJCG1CPfz9
z/mDgWF5KfLL+M/S/f5sTExQYfkAGnipyq6LLfeIxg+u4/Lb37/OT3z25YUQ4i/EfYAo/o8pk6rU
GhVMEB/7ipk1BiL36PeTvc2KpLurG4VNYxCSjbx289dqwTVxqsTylozNpblmp1dsv39L/9OToUvy
1pRt+d79eRb0fb7zX4Oi/03zo4Dwlj98ej8pOR9k+fXbfxzb7LX4+qcB0j++8J8DpMD6jY/SBojp
C5/Unz+IOfkt7LSUQb/Ta36fIrn2b3wFPiB/CeQ0ucX+NVVy+etczwSV833u9Pv47J+3KpM35nIM
3v7i1iVC/oepDo4crKguEx2X7wv315/vn5rhYpOzNzoYAbEnqZblB2btXbKNwdBuE9t7HvNhuGBQ
SFZpXz2TCGcczZF6GIYDCoFZqk3Vuvm9GPLijjisJy8y0TpUGSK90h1xDS6jlMbClelyxu9SLAF0
EsG1yqBd2pOFtnxsXiE/XPwxu8B12FPMRpuu8WhCR6TJ2dCH8DCS997sk2sOBWhdBxWmhAKssGkw
C56YzK7wLJ5LYd75VguHtRlfy4nBhacaUL8MFJoOeuiC5MvJKVvCXK6BM+2RyFfrCiitUNRv1vAQ
TZ4kjQ7hGgL4Xs93bopklN0rsyRjNcnkFWRyuSmpSbxOneDdvIEsfK51uyszDOYNa3YCZ9wDykN/
hcQBt3QbzWj+aLM751kN2WuAJ4G8p/HBbNRleQe6HISwq7L3tALb08ZdunMW+KcDgHTVx4HkwTg8
xs74EBaTv8bbEh+bTLyNkYJxLF3iWvVZ9WBe5wXzYYwtb4xpshtKTrbsbeqf6dGX+mGs3GfpqFM8
Za9NnQIw865sHhsfLku7dfmBQJm8I3u4czM+K+10KBwqJAKuOs0uWLaJtTmaWOZ77DGpMSUFGnYu
mjDbJPhNLTtfY/GLwv7cxsbyXsr8tbdYq5oa4kQ3lnq9vFYFaXZLZXcH7e+us8c9fJDzd1iqMZjn
KiiB5Cr57mT8Mc9KLkpNZ5sP54CCnn0QhgCervppjuC3Zp2fbRKBKhVlLiE/SZhuJDi/m4Z2kMC2
p8aF5Su96TE3vc2ki5EcsabbwAJ8LQb87IjZ3sJyPg/I+Nl9N8jD6uA5mcwvYe3cihE/jI98XrO+
hATTkNE6PM70c4QWdlyoziHO+YwMBKdr1Q3saZld+qWW2xGFzhr5tHMSVFYstTqIZdgrV1VrPhWx
9SacESEn8j5Uq9nJCobHuukf3Sl7z026RpO11KbPp0cnovBRCV0eHGbQwb4h11iLkKQs77tV+Fc8
xM9lXaQ7PO5XRJ/Brlu+jp+TIBEmf6PjPzMd0we2gzOaDygStgHMImKrH6RSE7gCjhLPfbnJJrAZ
ukZqpkU3HOqFZkmTMhzb3A+P02AYt0rqjMVold8WZMzTgWTDKZcIMmwjc946+Jh6aPwbK1TgVili
k5pEF+iN6UbktbNhGDu+RkGJ3IAVVbYQo+riCULDUz4ZPjpSF+Uly1HWwTK6uoX6jJhlII0g207S
1+vZSTZVpxsWQ5PE3wOWn7Ur8a2nsOyIYQjqa2bIu4LJ83Y03KfSsECH9563HXrvdSo0mjwoONyV
S9wM0xF0S+mqmoW/yxNIuLYuozur8zoIsFz+c2q/lbD9KT3zaiUHEwmabe2cAOgo3wXImpnLEOCc
uZlsN7x1zaDfTzYXnVbBc2D4154O5xgNzbsxNmfIg7+azv90ipPlvdj3uPWJKfwR5Udh4vbpiBYG
cr5aOUxF1lE4XROvvhCg6/+i4Pux5oLAT6wkJZeHa4+K6AePqnDHvvB1UBwQlJWbwkJfhudy5Tsc
6H94mP7F8+nH0pJXIhMqJMYS7+3PuVdjEExOSigNrjv1KiJOw+U4Tq1Rr1HJteWRfzJ3f/+aYOaq
P/oSv79mCB7fAUa3/C+//4c9R+wUQoYtkwLNunjrtcMjq/9sbThI5hb+7/LzZhnEkpbT7e9f2lls
hz+9NqHpUBmYEP8UzFsp2FWpDpdI2YYlf5mHdzry5XJcnFluqgOA6rcRWu1OjcNwSmktUX0Uy2CB
GRfBqXExn/t48eoDoBYLSD7tQQiFI5oijm/8XMixaX7qMr0UfrPLAYVNefxkejJnx+te0VwYTD+A
Gns02S8x0IW1G3I8/P1P+heXEIsskyRbMhF+zhezs0Tkpe0WB2kjYivNO5j9d/kMZvQXr/NX7+j3
2G92bxhjfmTAgCILJ6iBXKsig1mCR05bibs1Mw7hwhfppg0VtFUSArJB34ElzoH88Ax15/i9HjiX
l1IlVRQQlj2dY4NQAzH2j5Bvrk4z7GXIce9V5CDEMZrserKn59iz9T6HorOdEp2ce7PBCqamp2lh
pdMRu6cuCfPt6MMzcYvkPUqYexUKvi3ugHKPjOQ9KuenMO53cwdxHa78QWrvIGWBCBeBMnqu6ayY
Ha3tfr5jewPPyObvFqHxufGUXgcWNdbfv5E/bv+Wu8INwHpZ7LR+ZkJgaS3RFjgk0I1sNignJk42
dJ+Aw0bn8Pev9WOjtbwWqUWwWFhyCu9HEEFjaxgezGQOnhoe3Baae/mrA/M7O+OHO424TxsqA/8t
oDT8+S5PZM0k1TSLQymGatcmiGQg99BA2m8JhpJ9xwZV2cAKDfs6RgKDSpGdjCn6xPD4C2K+YmXn
bI3CLHUOOOd4yApOp0rnF8uK36FtO9sANtaB8c4MNhvOdm/O7U2W+NshrD6GxCusfMjSR+b8eo3N
FcwTsME1nMRqZzdAhh1R2/seDP3KtJN3OE5EzCbqMkzqpLxYwzBPKVAtKE2eVa1B5SbrweweysJm
iuTMv8h8dP/ijuWzgPyDYRvS5I/r38KuuqnUeXGwMhqFgT54nXSkQ9iG4meWvAMJ5dYm0+E193wm
a22DvsTKb7uUazlS7GD8ot+NEclMnW+VG1Ymz2NaOXgrAmyWg3/FhuUjn/HwLNjpBh+qsYY7V26C
VD+Z9vg2t+aKNfSHyaE6FDU/cGNMeyXNJ00hhuxEVnuGPXtRjQ+x5/ertOH6dCsOvtYHUSYMN93k
EbkENnB1wWry8vcX7l/cJDwzln9ZS07398b+D4+OMa6RS41k4o5hsaHEmSDX8+24Zs+OK/7FJ4LG
/OenRchTmGPNspaAzB+ew7XraAeoFpIxuy226BCRtUXpKeJJJSw+n7nkkoQcAE3Q5phKUyrAOLv4
igIQORwkx0IgVM2Heiv8mdg+0u4YaISoTKwbYwhvM4HFRAqq/akonY1TtW95Oj9MmT5DZedhzGUW
O+qV9QxVKikq6cxkuS826VSSFJHgh+nSEPeRd/3eXs7u5GzAjNhr0aiTb3R8RYVjt4r6DlVPJ0Gz
4zVemqCoQBM+dqo8EXjwmHQ0kqEipGSuafW8ecSMFptQEMUKDPwjjLw7YHMnhnbkPGBESgqlN8s/
GDn/TzQsF2TVDzvLhfm+3Ebt5F3LYHz046WB8MjoCH30RVlNtWRG6WVC4r0JKv50Y3jPdYqSvcBF
dcOO761hvYZLkFYhSy6JQ8CDmCjFwbw+p3J4YGmL5a/0DuAzT8aQnr5HwjTA51Zdl51oivd5xJMl
iQcuTO4Of+wumeV9li0xR8ryrkM7bJiRa5hp457lSsKuGCYiC5Jr1rnPdoM8+BdX7l/c3tQ6SDxA
4nBF/YRq0g6bCtcjdDLQb0U7PLQmz72BNgvld7pZ6q/vrXbZCQJsBJXe93u+kN1Oj4jV6pQvq3Nn
o7oi3QolNiHL2YCJOqYUCNfFFuOzPmQLhn4AuYAJ0k229QKoh4srLlUjJCo1nos454G3c5av58C5
2gZnTNrpp8Gh3DIbp1r7JplkU4zbJAuprGMaQ56H0in5QGLK7CDtH7uBE7Sxu4cmpCUVfXYZ+v7B
9fpkX2b+tE0axaB5nM+5HB/xT7KKBpmw8kr9BlGpwszVPQR0BweV+NeBhwhNZv/oYCxfqvku+P35
+n8Ttl8rtJZj8u+Y0kQXgM3403SN4pgv+l2eJX6DnC/A3i48aS7s34HS3m+UD0CjmdX+S5zlmr/5
nKSMjAm34PBc/p7fxVr+b6YJcYeKgCIHWI3774i1WGf9+XjmOcmGhlExZQzYPPIU/lxiNJZPNFQd
w631THwABGj4nMIuSFQkkr47vJiMDcDMeuVDUuniuniaV3UIrnVdiD7dWkFifkg7NettY0/qVrJG
JMbOgKMpgmY/icQ5EQdjYQRNqnrjhdCTmP4KF5muwomhpSfPQzaWN2bM+HFV2tkNoQ7qLiidcJ+b
Qu6jIAr2DJ5wV8S5EW1aBvb7OZHNUaGhuvTtIoYlGdBYOz10klU+hvY5mMrxs8p9zWYIqOnakT05
KMai7S7K6IE6kRCJxBinY29+UWouXzFuhZdZOdH3ErdjyQX3Y8SsvVPR5N+O0RRCDPEFAe8yKs3j
kqJxUI1tvI2sr96DKhG3TlqERzLMmm/xZEf1WuaVdZfIqidCyWkoE93xlKrABBHC7iNfO6n9LTVL
PEQelFn8oA5jLOC919gs4nNbzcYbOhKmI6SjALmY6+Kok/p5QF70kI4L0Jba/qOsuu6DEN2ECcSY
my8LKfgZ3aZiNunhCkC1k/aYDQVP1LAAIwYMZmWbCftwT6iAk89qXmtGnj3SnvETuwx0v32RfcmS
rjuIOel4JCXJ22z22U1iNrfGHHsn1XTVqYnm+VxFGWnEXtDugilsbSYdCX4OU/d2w+cZq2d8SVge
eZd6/jZSqxGLOdlZW0FERlvu84NOAhm0FfU3VuIZh9Qz5Z4okewRBqD8pLqEDRTaNweTBW3fNkdC
YWHVggCFq9FRoGG59jAVu/2ld8XcrvvSdAiOs2B4y3nBFsbYqNdjW0jWcw4rS7jJ43uChZOl2rRg
sooM1EiVyuIu8b1p5WLYuImbct54sya9pgnzS0Vw241tOBZKiXzEOchwDyUxLWj8RA4cZZxADfKl
nka3Qtvk4czIGB4RKpcvmdhQSZDlo5QPC+sK71Xcx5GW6zE0tpXMsV7pYeM33jXJxPBWBI46mg0G
vzHFVr0Z2l7jppLTeZ7x40Lz6IqPokyjZyP3Y+OEd7rmkVYE1lecmm2/kubYPwzziEx90Mp66RAk
Irsv6v7e6ov6cwPAZk0Rar2qhiYRJUCnH1r4seHBxT7RrngolWCTdbsSuYPaJuokgQZ9ZDlPzmDK
cw1F/AuWDLNYoffT8TpoEFQxpg4/p4EZXJQ3aRPtmhKPMz5S3JXgAKAWMIXLNggmyl0oi/wVXIv4
iLTyi2GO1cavGodANF9/86oGCEFrWWWxjcKoeE5jRODrrEnRPqOjaV66ABPOCrJAdQwjRpBYD9ko
d5QPN9KecBV1zT0KP4FQKAm7LTrpmvicxt2GsITIB+J5OQ99i6mvSjYuHuXtPHb1SZVWcPLMFlK3
I9OQ9wF5Utn3nGjM94K1ISpzP2Ru8mAPhrcvE1NNG0N0kbt1g8Z8sZVk9ulymA62Wem1KPIkRcFR
ZcdYO/WVyQbMIiKUl+d+4vLGBnn6ifyuWq9qpu+wG5ChHqN4whgcGmP1GRkkaFgXONiBICNGlci2
2lu3bYy30guwY7dWOqDw0AaHC4UJcZ6pIJTMdYedEcr6M7FK47c6k+OLdgvr4iBRoIQZ21CvHI/R
4FpETs3GWERqE9oVQxY5RkCYDYpgy6w+xKqtqGzFiBW3IcgeSPDGL4KTW+mO8K8CTaVsM5a/SXRM
Fcdmabn1fjLzR+Qo/b5t2G0njFpwlzVwgGFN6wJb+eBva3Oav87OMOXbwfLrTen0iBlLOUB5N8P0
djKJQuvPblb7RYeVfqyST7MR40DRrL2V+RxqhRZlJRu0t91zD6sjvY0mRHi2SP1bK4XDPVtZ8+Dn
mfngW0F8x7E4sfBW85Fl9RNOguKhhgn30FttZK/MJI2eRoinzw48I4avqA5PEk7UU0haG4fUyG0V
kuJzZ/ZTfkcbivwozr1FAeqC4KIXwQWFSRUCAsc2T7v1lOuE2arosYsGNWqPNs+vqTD5dn1l7Kw2
wybTsrziVkeivbKa1r8B8+7fAlCwL55X0Ao1DG8/uGHjH9NEjY+o7UNITAP+BWc2NAPuuM/3nVGX
ALR0dBVlVX2ACRAcY37wN6zTRFXpxttPXd3vpqiePyM/mYjcqo35EFuZRtCvMb1B1tjWXdRD0vY4
j/rEms92NwdHmaA4ysf0rs560Ny17dxGJWgNDlkVPYxztPjK7UszlXG5LmZ3ievqy7sY+vp+eT8f
m3KybkQ6o/10jWCf1g0TejUMWI7sEfiJmOXXqANSn0z4Z1ZNPRFY4ZmdPmlUg/e2auhStRDHwerb
pyYq8zsUrMOB+8nXYDvKhpFTgNO7HWNA3bPW5ga8isRvxJTifnTMHBlx6oj1MkDaSi8xD2mdubd4
gaLLHIjp2PJgZCtInnghwjezTMQbezq7XHmtVz8nmC4/m6yzjm1pVHuogEaIPoWjhstvWWG4meOt
2W4Gu2RI1R1e9fFzFQQj7Yblv9hlEt7auuDOk8uhCS7YTvbzOJKJ2DS2XX4otHiGzQ8ffZChrOBg
1721NovQlggcR/GSGJH6ACKvre/8BsvAwQlIFljNvq88QgCs2ryxfRx32HutwqwJUJBJtRBVeOdL
e9YfmjreTMIJ9c6RfrCrhB+sJTD3iKZkvJ8tG0pF12Rtfug7QzI6c7zk1WaQVKzB8Jvethlhj2Cc
9hejCFOkCYHKvozJwOxPXLI2HXMwFChwXutofqHsnT4B1ije0mGynwTUlkerjqsTQQePdRHobe7U
+TGo22od9GSWBeX04GfzCwfgu5vI17TzX4J+7L8AxKaCcBtIOq3XvwSCrscPwuyutrLt6ObGDR8O
wDDirlG9dvW7M3uMv7qqVshI8UvDL+8TwqJQvNw73sj8EbO1rFe0dHH8GPoMoPPZnu8lMjEo72T7
5MY/ppP/1z39sntiJPu33VNZdK/FD5yp71/zz+YJYws6A8dnpbPwvZEU/Kt/okv6zYRea5K5Y0Fp
tWmV/oszxf6Y3wJSivEb1c+/uijX/c1hdIvo1qb1QT5h/TtdlLsE1P9xJcI4gng4lD3LHmjhZv8w
qK3w/9kRxdxtUHHrYQnLsVkC5vTWXu0rfQiIDykw9MUy5UJ0qktsMzfMsCx9bSMIJzgscpYe5IHU
01HONV4+pLn+29zY8H2KJHRXbl7pmxL3bvYpmd36pmxn82vqxJNYWb2a+pXpWYFeiqDB2SeGX34M
ui6wj20tWMJgtm/GS4OKayuhAFI24TeFb+SrS4WUaG31ESsCbdyYvUZEQeZKjM2tmO0NHrTPA5U8
p7TEWThMSMZ1ShomCyJMZprkEmb6iHq2uFOwLrq+TC4ZHMkjQtjgYDR9cxzKPMUilhTT/VAbezvt
7U1pi09jMTl7aWQdxvS4XL4r6BOfJo/jAIgAZAzCOKSwsAssCAjLwkJKXNamL7MUITg0VHafBO3h
5sHh2CJsi/C8rfjkeZfNuaf1shPv5KZze9dWY+qfRyvw3nhHECIQGBk1j7NfzceucVvDPQdNPKlt
2liryh39qdo3YSWzrT3Z46VM3Sxxs8UTS19e7ACY5APxjK6UnXNIUUFDZAUTUw19cMagQlDAvLao
Xm1MKlL1jNxWIm7IKjhaOTCXAV2wIJwYth0tZfgdFhkE1aayUf4Njm09tC05PNjvjekrVX2Vvgso
DO86YsbMwKlovdz6QDigtePAX6ie8CSD52okYQFdvBhuRlSDJ4bZYDqDRkUS33mfHhO8yc62ydQ9
hXWzNROqx0iq8bbV4EiWIEEuS8zZG82aj4weyzqFqSq3cWzOuzlJ1F6V8tZKqumh83s3gTiQ2cga
0AwzluxYbYeU5WvX4d1e22kYHf6TvTNpbhvJovVf6Xh7VGQiMS7ehjMpaqYkyxuEyrIxD4kZ+PXv
g1zVr+zqcEXve9EV0dVNkQSBzJv3nvMdnCS4OjM12cd8FPWO9bV5K80q+2K2WipEgI2Dl1ovBhQv
8EAItEnN2Kvx5alRIDwsheggoYaWB6voPkeJ1bd0jS37zuAK2hzCqvBzWFviKkysfAdIzdj3ygLE
xdtdY/+p9nKW431RtnLx4lNVWjJwsTF6A5GTpkivFgYOVlYsTFS5TnHsB8ExjEhWCqI2s86AS+cT
VRizgkQgzO7YmWoF30sAdemy8MaJaEpsOss5MzQlOWhMg8/UBP6OdKCeU6WytqlOi1Mn3eoJoOqN
Xbj2/XJn32KEEhs6AkC7tLyeEw6UbNrt2lOVjeS+4gxtqUp8K+Ukbks7DT+FVcxgV1ukl/QpCa8Z
ptEpdsJ9kvTpHpQ9ahe9RCoTDLyvnNp/DC0D35XyzLOXus+zKW4LOqlrF9jJOZ17GzWi5tSdNMOL
rcshWiXpOIC+UeZrbk94QdAYlej3MqEeHJr5aDka9c1wPfAULVdjl85JeyTo+Qu4aB9mHNafjdFN
2l9GJtZjpYYxgqrSl18sbwovwDPoixPxa/8ODSLeF6DO+BuVccS3Q9iKqugxdX12HNCWnNIRXJlH
NumW/Jxxp4rQO4w2c+ShKuABdA628dYOJTd618ZX0o9orS4es4zrc2lGfc9tDUDFnM7+QJfITgMf
JVlUkbmqtHvyaoPkEt/KvPfRKaI7P/PiQx+UxTu9LX+TCUqfVQWK0tlOpUU/X8hj4CQPbV57R8iB
4ybl7n6UBrH1K2b9JhYDFayHFi+yoE8xjTZ0MtfVpAWDEl9hwlCfyywkFjzqgBEOkokPWRL2q+0N
/kaR8fxQ0jhbc5wcXoBSoFFVSXltZhWdjt4dvxhjASPJVO23ENAB4mI9b8ssagDrmuqTCQzsdpa0
o/rRm++mwi53MoNHaGJsvyJOWTyiB5/TNTLzVO/Ksgm3TanFG7jVemONXfmQWAbh7xNC53WUdMbK
QjT9Dbe7OBR94b4qTgTGZubW2s4sOeuIyENn5YXRsClKVn5voO3her1zbeo5XPNEKpTg0nyC411d
eYMdnUq/rijeMLy3WnAQnPxo+hpPdftoQ4hK1toMok0jpoxTjoT/EYzEP0mJBnuup6lbA6L9mucQ
vJDU+pxizfIapFaCAkLXZ/KshvvMNbaYS/xr3Zt2vAI9FgVH5RjpdSSk3kj6JZ+zpjcvSZNV127l
gaYbZIN/xon8B8sfaRV6OHrKMYhxbATWsO6jWNzWfZW+5Hg7XkKvqO/AIQTPVRowQx+J14lwND7J
2pq2kSiT/YQ9ehtMrV4JpyCayOLbYtxAKt8ei2zu4Y653RPSSwxysdUUGwPjyNqxkQTRXxF3Gpck
Q1r6G6cCjRBp3+kwXdn0DlPiZaVJMJmluI7t8Mka4RrYPQN+IGOo++GGzScZS+cLA2ZhrMugiO/I
uBhwiwv/ZZptSF/WzEbvFTT2Vk3YxDvMT87ZxYl8Cdy+DlcGFPQUVhyNio03jOdOl/UOiyEhPx8V
3/+K438qjhUk818Vxzdfh3+dvtbN1+mH4cL3l/0p3VW/Mcl1XDo6VKAf2NQ/5wuu/RsNL0ILGBmI
HxzgCHSpWF0wajZltassitY/hwzebz5/Tgj+F8RTAqnWT3rdX+p3fx4yUJ4jFrIXpRLjO8RYP82A
TV0XsErt+uD3Bg6molbtFkl6nV4RdGhfsU/r/jG0GyzPIo66Yx8X7X1UGX2+T+EXpBA5ehBcWFnw
2wQdsccd1mWzGkMULWRZo+ttBEANNEahz+Ix00G4CVOJT4MufXAZzcL+5BT9W0brNuRPXXod2I8M
buf7pvYvNHBhjRS4IFelkwXNkjxGAxTY63U3LMZrj4L3oYHEw4myFZ980s7QlBix+VAUQ3pqakoc
dFCYIRfnwuCw9EB+G29IfwZbYUj5EMymAanT8L81Zg0AqSoV47keNdGREDqqMNx9eLt7EGjz0Phr
xIUJcAUu1EfASO1Gv/P7I5s1Gl6NCLg+ohqevb2HcqRcJ3l3nKGbrIG98sLGHujDm8XCCnFyP/df
+mTW4brIPPHJzXGpO1Xvr23TxyVLC+5AM5Ay3SDBe5ZY0VcA4CYEJ61Puh89uVVEEhCAqDhmKxwa
NQOA8bqFYh4ar12n8Jy1ZOOtyDaX59prfLEfbJk9T2kGgqYPO/mpzpdky3TEIId5JRpvvSozvs3R
4K9HpdGxRGP0bmQNkk9mVfuPz9csn4o7uwYwyD+PJnCUYlVQU61dh8bcTtRdsafp18MQq2ZQu1xk
uprtluDNDt96G5vn0KOfHK26Nk2HMxjvKCJUT6bzwWlQxe4imwzDvZoVzI4kgHRVGAh5Zqs89rXV
kquX9N2ujUPzU4V21tnJavJAgKXWTI8k516AQXdKuqbZ8O5IXZvGjmkE2/YjtV/2XBNu+RjRy/6k
q6g5e8DXLsncY9Rhdu5sCOxRJ3qk4RVy7OglmSr42ERrXhkVPzbqGbgydOJQzUDZQ7lgG1t7Rkix
xwaMf9rWFMiAXJ2FJ0nbpBimvYcsdZ9lpvo2OIAtsTTneUk8G8lRm9Cke7jzE9FGN2lW8reYOlc7
pwR8hrZIYT4i860uXbLkafo+BLk/XcfzkCIVSOPN3IrgOndImyVzdvD2cpmz11mkngk4Tve5B4Cd
3tBCXhvbOPf2qRTNY1tan+w2A1Fli5fCGydS7Hu9VJmw24iwI+QuD4O5XTfYTHaxN8NMdTkN48PB
2BR4eLFw7tSwj7LyrkEDct8YCpjBNOGGji156sKCQzB4vG0O3GQh47VbE2n1CddomlHiD2o9ZLZ6
4qwlVnY+YZAjk5UHlZHXyiKYbF2YBBnB0w/SXdH2xIqWLTQzNBaEBwyNAQ9ONdf0EelIeyq9KozB
vqPmhHkY9Zhdhdsgn6HVGiQrz/CtcwYOvtsMo3A/9cyfrgMEV1+mOkkghhBpOvHTz9WCcMCNMYA0
KyEKTolyirXgNW8zCisq6IQI8ENY5vpR+8DCmEbKaNtFPbReIy3mJ3y4YjsnOrrpVVWfZlGVpHTa
097UrgBHgasXxm9YCXAJRLVWqx5lBpirogHSV+B4G1go5KrLBrHpHWe6GpCx3kdkLb74fH8FOX4e
k2OVl26zceawPnUYOEEhOAtzfvBSZOELCH8ldIfqJXJLghqKql7XmRldHEAY83rMqMTNOk+ukNnQ
dsMjwWwwMcE3Kqdq1rXfj/tIhMV6mHK0/kJvUY6YTFG1e1NOnXHB/cbi35nRvPOHMYGGVmQtbU1v
ru+IdKDjyDFggwZrvqdVyarUoCJ9/VhZ0M8F3/wxRwxb8oQStCuZtS5PUeWwaI2MBp7rAWGFYzCF
ZWADUIxKkR2mLp1iP4Ysz1UBJ4zHYTAfaDfzRpwtxg3eTz4J7pD5ehADdVw0GH5xw7Y93QBxK6dN
Wc5kuXZAUGpP2t91Vf8rl/6pXDLJ7/t1ufR7/dakPzYTv7/oj2LJt39TkqQrmPX/jvD+Q4zx0We0
qXsc788y6s9eokJ2QSKQ56DWICGLiujPYskS/01xBA/5p96hh0vKlpibqM8o7Jcy7K9S7kx1BhOb
qD+rfPb7CAkCwwCKbmUhVyrOBO1aExgHctYi3M/L2CddJkD2MgtqlqlQlnuLd4ePf10vUyN8y855
/BgltctUyfwYMJmqBoo7x90na5k/1R+jqH6ZSvmtF9+Yy6Qq/RhakfJibiuCvNYQgdVNu0y3CM/Q
O9F7OeMzUdy1yxTM/xiIES2dPkNAH05LYGW3GpfZmdADYcsiMshI8Ur/IYu8/AGlE8QQ5m4NSc97
bMvhnaPt+YERX/2wpKfuWF8ZegXtuEWv257SiibaSITzunfkuLUii+IqhmJy6QAKv7lurg9xUwaA
DGZET5qmxx0xbtGLztMOX0qZVBsV9ubOj1yaZbaOHuzRSba9sHqONqIYzzWP9dnTzRPmVRIq6NeB
LbZowK2FquZLgXh0LeT4ezqONcTbPuXMZPTxWccFMpeispvPhHyzl2l+w6csTfIbb+ijndFG86nO
MU+uIlqkm6z33CW8A2opZpb4zvSb5GBk4S1QvGRHAkAK6N4GMUbM3kEMJd2XqOjOhSFjqMs4WlYt
OcKPHCS7XcpMfd0y9bz1oHkeJnye164Ww5nz43TAqKfegAuVJ7i07aPjmdnIqdFIt4s6FotZBB4/
5wR3TfCH2GnpGhtCR4t7oxXqsZ2s9pXQhuzbhKf3YvZdvHHoF9/mjW3cqNglh5XBJdeKyTaEJ58T
qpd/UnWMbNGrik3B0RYsT0rilGCZNVQ9IkhomluYAITvjO2I1aiPNe6oKQQQAdHmC5x2ZBi6lox4
jFmRHz2CN91aNGPuUfkJ9ES+5sQQ5PMqFyVEQALPVgz235CMelcf6ZvoT6sbq8ZB0xUCJJw5Ex/d
hONulIY/bnt6hedqJhImCyvvQMch+5oUYXInKvzdcRrOtymoggoVdGBgs1JevgrCRvorPTiws1Fv
dVdF7LisX1F0imnDr4iBTjZLfsmnWObipR6T8ez4qdhGVtNd49lDRlJWur+vjXB+1Rm9XRzeqAAr
Ow4vPlyJWw98El3mcN/3LsIT0bSICmilp7ZqoRP0M9g3KQsXjYlmy43I2N5QtropQ05qkFXsOfQ0
kiQ44oXhRDDRy1gBbceKTsOEoQBsgvyZZaSiDQQRpwi1wF2U29vYqMS1G0kM6sBxGL+hkdhi0NC3
eZiHt3VkmRtHO+pzhhwFES1g1pcmiFzM/l43PTJxVOGardGg/pDRgXZcfupmBoWr3KCMWveGtvsd
BxBB7DS7IiTjIs1vDHAIz64sdLVynTKo1pbWAStJDDBizsv3TAqxtPTy8VrNbk5TJLXjdJNMvfEc
9g32tETafsCEJRw3KpYJE+yk0OZuZCAJXdyrxnszE/KlxhzTrfFt1ZXeZU6Juu1acrAYqVYQw+JU
3tHICXN/HQ6Tg7JrFF0jHgOYh5PzFLo52sp2EY0B4idUszjNlUl6w7r1YN9XG6s30+GxTsbQ+2KF
tNcLcjYyMdhPOUJ77W69Cjjtzui6NnmfmArJdA8uv67ZuJAZ/q8O+Kc6YIlk+3UdMPzr8JZXUAbq
rz92Tj5e+Wfn5ENpyZr4h3n5j0LANemawEKAYLfEqH54of+sBCgfGPYBcCNlmCpimQX+0TbBDe2A
v1vsYDijFtX7f1MZLPv+D+YPKg3FzBMzA5+CkuTHugBG5gjtzJ3JhGaspmYa3lhqn/9yUe6+/7l/
EVlyV9Iyaf7v//mbonp5Ezx5cPP4nn+LNm3LnoOm73GWTUn2Gt1mJh29d9ecb9vtr9+KMu1v38fi
srgY8lxhq6UO+ovvoMxZkZKQ1sHYx/gwspi5iwmBFcsiukWSFg+5rMmGm21rBUm//Ie3/9vlpBFC
Oi3SDin50ezFFvGXtyepwLMHxwQMUwwXM3dfPOg1v/6Gf3dW8BZLMw2POvvqz5bDujamTgRSH2w5
XEZbPTPDKtediaxVzJq79N8C4//wy9HC+/mCQjKFvcBkG88TPbZlKP2Xb6RCDRqHfsMBAps+AV/D
YQMxLMd5w2Kckf9hBYNGcRfqlmOvgny80shsUMimdV5vqJxoi5shmxw6t/QIGN3PaTT0PlxahMDl
ivU2wUOkZbXMKvxVTVF5BNqrfjeTYc963MJfWto6dSvM56nBqAEmjxMYkg91E+mOaUaEhr0T0/g8
MW89M6YawpWiyqIXrv384gCleYknt0RlWAMOC0v71m6L9MGxGaH3FmDzLgQY0vWF5IDtB8gnO40u
yNa7vpvnIxvKNRTgfqfy/JvlZg9lbH1hPHvfIi1lQOvlp0qMn0OgY7xF4mxpaROlQ29vk1az3qea
7kpdyI3dJMNXZnYabX50W03kRMU+M1LLzLstFZlzM4L8h1XlBCczVM+uIYNTEsXYoRp3yZzoyeYz
/MtIEuBmkkkCMFGHl9YhfIfuyFr4fbhxy8VpPAT9AUJfsE0Is79mlrvuInC8AbHTV3YonHTLAKWl
VTlMoX9kyyG5JS5d/6JdDqARx5O16cXuuRJJQrRVJRkDF2NdO09W4RovUdrXt0Up+TseuZSXUqbM
m+u4OwhlU0HXNTGJxFFHV0Gu6+syQ9hjFjrdoTHiFsk1Iq8SC3wyFBLxaGfu+jgTz1aJ24TOzQjF
Nza71y4WmnpLTPhwZje8YFebt0VcylUAvWkTaWcBHsbSP85GHZyDIKrvq5mRSV4354BUqFewR+3F
Aup/gJ8rr+WonENecC8gLop3XVuMexrHrxGDQsQKMfD1BB7CAbedfy8QNe8N2h7Xc2iUd102bUw0
stewDiuNsDUTu3pI9Gvp2NSZMPao7kc73te+1V2BaEpXwRw5dzGq5SBQpKIGrStXvgyhq6URYjb7
ZezDk5UHekNY5H01pU9M4Dk39Imxt0gMuIJ/k67iqGco1yGfMoJB7k2FrAzNZHaYILIf7arRV1Mp
lvDA0C5v84l9gzsaycrKAOh9rwI9vTVQptYZD825DxPjqg0dc69GvCZORtkER5soP3hZ7kYLzbuF
6dKs9MEQrkuTCOagikjHNbzglY5Mgak69PdhEAxXI0NTNFUdIx/YnXtK6YBnH2GTaQkOTUHHycBO
GZ852XCazUieF3HYLkgc/7kk1oBzQ1xsHDd6QxX/4ktE/mHbiocYZe/B7NVnQrXOhpeFj2kpEC66
XGn48KfWKkGLBWm9mi0ScIKhTzfak4SizMm10WhA74i7N2RVvsehRwIVSfbTygvC/hggZNxKQ9zD
xd9h5gsPiQF/r0SpvJ9T/mwYOPqploaL0K8ZjE2F6WgHVUK9NX1GLkpUOdtm3OkqVBfbrvzFCg1u
s3D75q4zKoWcTXjHOB8UOQoRR42l3o4igNgr26rmmyBL6fqqoJqeSullZxakGW6PD7jItF/rciB7
Cg/ramAmt86qAKm8iGgyF/uIDWCV98gdVmFIDGqWy+Kmyb1j1ptPaQ580QwkEmw4VVbtMT9Fr7IJ
UsO7DoP0a4AEHjVms3U703rrhFX9nnSqv604rvsrO+PZY0lwbuOJYwa54NnRyc36gLItpfc1D58g
iSikAzXvLGCb4dd0eIBg64+LdsTIXiRJ0Iz1ZutezYkDcQqlkszypFmVdqbQqkftliEJ6LjRGd/z
fEKfifeJy1ysUzBlz3Zko7v1wdhxWMuWLL3RWpO6bW8zj5TrbnZpfKp40Agx554jo2ccGAZBQtHu
F1cqBLG9z+/O7CUBDO65F9r9ck8HMcc8YmEJ7ieya1MLjLrjRwewq+VVOXb2wUbVfevEMj1ERhh+
9uxtHsbTPpsiLn8fjU+SlWsD3tjj5D1lF+VBOgNOA6XRaFPz0dLO1hny/KUFpPt57J3oxqmd+aUp
1IbG9gA2pqrrm05WLdkgCXcesvIDnpN6RdaesWHz/FakjYmwok53IEqbI/vjcOwTxZqhAfE5V0DD
EVVtzKzpvtcV/yvy/7HIl0uV+O+q6G9go2U2ev11jL+UP1b4Hy/7t3Zwad1Zjq186valzv//2kGB
KQsgFyNOZqAuxqx/aweVu/T7kM96VGc/DUeZm3KapkUoadmZEtf2fzEctX+qS4Xv8/Y2VZxNU9Gn
Nv6xitMIy+YhLJJzDVV9erMQNpE4brkt/n8gpkw21MBGNh1iNLC5cSzNqLLrNecQbOEDQYSIbaf3
Gm4gXQ9R2euRw/J8NRaO+5Wn1N3QtHDqWR8KthW0Vqs0GybrETzb7HUhO5dpohXK4AuzRU0h5TsT
xzmJ/FsRG61735ddTypm5bR1NT2qgmTFtTP0rXglrRXwzbLEw9euo1LgJI0xLKxHz2WL6ZEOAdMJ
ZzsdozMaYl15j5HpYvhN1ljbGFBIogIoR6FK5s2l8RhXbz1aV5l4ibXbzt2+qHrPzNeNyInwjEnB
xqMh9JfIaOqdq6vpzjazAqPGNCS81JmM+XNVgEL8bpn+3wP4jw8gLsNfPoBl3Ub/Wr/VZRb/JODl
x+Klfx6z7d8sG0UBoLDlWP3xpP1x1PaQ4gIdQ+FC9CrKWcU594+jtnJ+oyMjgeZ5NK95Gc/nnwoF
9Rv/V4kgWPnfIWP/zUPI8fOns5TPUQpivGtDPpMQxhZCx1/OUu6iMUP3nhzASEbwPv0Frz03IQHO
Zl/TQGz7SpTklLoRaVCkVVhHRoY+mSkzI561OZDAsGPEmqfb0i5DTW+3lKSjVdirxUpEqnnPY9s7
0+i3jhAQ5Q17rnVsrY4O8WRSp5L6pBA+SOqQIckItk8zBAKMBLyzj9/wtWi86rUSMxHMRCPGFbmN
0jvLiGIBNLi8YcpPQlxZhI6Db970qr2ZuVG9bVJjeclHundK0/XO1K3/zJyeNx6YDCJ2b7zxISTc
6jmP5fhQkydyDNIlyF1Vo0vmtlngcC/tuvROju82740nJEmEOVnVMsIGL4sFRlJZCFYnYr06QhrZ
5leVb9Wwcs2wPgip5GVZB9/cJQG8LI3uoPpIPc0DXvpCEVzfKIGKldwJeROauK0RtIbBc+IsrDDs
AouM1U9IRGUm0LwnNVQrVklArjHqrVeqaNGvRlXzf7NGWV7lpW2/TSGvo9jmA3Ai59MO5IzdCRWi
+QoiToedcmgkO/7It7ZS3tNLFTn3ieC7+5k996tuEOrGsYi7KiI3ulEpDkA4pXJVDzGxaUHcH1Xp
4zkgA3ChwC7XE3ZVEsLLyqEHc1/zb77/oJkIU6JW4sB/NrvlF+ZoNd7xkzbNJ4hWaJ0HUIpyM5Lc
nm8AIafxvQFeCsQnSSr4UvqIf3oNXJ+1nXVcF6yBfMbvueks6oaNpNMN471uQeYcqqXmfGHOTfh3
ls+M5vth/hYFyNBXoi/85ykbHtq5sXcT1HdrTfIvQbrMNe/dHu4jxGQN20Lm5qWwuAGXNAHu2pwb
PSXuLNiRNcBfmgOTf7oRUw0+CTcRY4TxLqJqornQ9twNZt3wy/qqddUWaYM6epbsrOvMdVviC8OG
m88wiQwPsMPTFh6q9h3uJC4y0VbyJho0DyHuHH7gsvIEJg8/XLYxCAzTqSB0J16nPhPibc8tikaQ
x/Jc4myxDmQOq6ORIJREyqj43PHcxYwQ8POSrUhGIsGOdBBXgeya93Fc/L4FtGk2xeU+mfyxeu2W
n8hTBNrkNpBrTzb8MTR88R4kjL/Fgxbvp773QcXJ6pXcoOD54xaODZfrmzbUr8vDvkgMXwOnHx8G
1XFJBjOc7saQRwHTCYCdiNHQznQs/5nSgwvXkpOu1lXmccN0AHqvMjw13AHLI4FgI97jsOXiTdCQ
91qwcLA36tfZrcG+2RVR6k7nyIuF+fPZSEQPkr5JiGZPNBiIrHZ5OJ1yQrxJF4GIMHvoOafnfB0R
W8T+jPygyzyL50EIbjCIOgD/UsIjSaqz5KUHvbif4AOaKxpU6uhGpX8eysw/z5rwuVUbT/yFsiJL
bZVBMydizG0idZfoHg+sUaNsZ54++xuRVe7BsWuxIxTYP9t6NDYKiW4NjC3l+ypgacNubqYu2kJb
4QlDSMAHmhUrVm6iVH6YmhE3RdL523jS6HhQKz+kPsuzV6QG3gmZ8XeIs7GOeM0Ix2pZMgRNuktr
Vx1XMLfGh4obHUM0RP7XVAQaLkkTwneMzItLIP2NQ8UUYFZN6vmx8SnhDmPHEqlmvvCYptxRho87
bZOZhrwEgriiU1i6pFSrIs+iE1MiAqvEHO87cI3zuh/4lbI4sN6a2GRplsHEPYXMhRt8cmZ+1rrJ
7DeBPwyyXCHlRUPQuSTQd5Ce10SALkMw7hfZtHAbC+7SAf2bQ3qGljcxqQmXPOfMS9sArN2295c7
h8S7csIJUfPnTY4v72GK7joGN3jHWEJe8Ez4z2QAyuQKFE19QKjOwPfjnrdMRKtr0fKdSbxb7n8I
OEQqxL3/TE3r8j3Fsuz1g9Qt/g7KPXjkDetb3bTeBnXQcj/6U+OtK+35z4Qn8EN+X9KSRsb5pnIH
biU78OrumHgNjjZNt65mBm3IO8vh6cqylNMxjJVAqGzcfTxxee9Zz0PRjqCetF1Hu4+VtSwj6QAT
9/SzjIk9ex7ATqYvNlPkeJ1Zyyol+yHeW1Frv/mYMLZJp/N7GQGghCD/jsPaP9ZVtWwGWiybM2Ep
QM+BOt8Ms81CxoiKJ9hDcCZBbZLvEeHqi6YDyw8ozI0MO0qIVUhWIkDGcvav8qJpoVC6wRhySWI/
u58Tpo8iRhu3BuYdPrOV1tTnKJNOZNXz1KTdyFrLM0nUE0tMCb/KZDqsdO28l0X+XIayPvnB2Ilh
NaHLpQ5R9QWqH6EZy0bUOEV2YcBakT3beXdMEEXAs9sroiIQD2kp2xtbqPKK5KNw3aPcfopdbYPF
L4LPujW3hlnqcwPRYl237lq4JG4Ah8plbgyHtp2OTdRVRBP7dBvu8IGXa/ADL3jLdxUNr52BVPGu
svpVkrsPgYkA4mVysspgn8DuHxzxnuSsqrh0oNCghFICQ1AlMB6DHphJkW7QVpEkYiWwlcz8IDEN
RuijK5KSrVTt0sLsfYLI553oSB2zkyglKtUdpp78apphu8khZfHgc1vW67DpGMQS6epftcqab72x
dU9N4rPNxSMCgtEAy5QP8gl/MgB9dNq38Zx6J9cMuHulRVESeThgvKRCuFSNJu4It7siqJIBqgph
OTSGPb5lVpk8TW7+ZCWkbZ4z3Vj3OiUX22ibwQPVVvs7r1f9t2aq/d8jD9VYM4Bmn7nJtpqY4I2H
LIwI4AQBQK97bAMtibJehXPCshAbdKpJrr06SqZrrpfznrResZs7hBaQrcU2jIcn34e2n8ZwN9xg
+NwH49qOE/d32OfTQ2RPxUZmjEpV6iKebe36viGNifKncLb2mI9fsGVdDEz6mBia5tqLo/meGB57
XbpdvivJ3twHfk/X2YdNF+rmov2OHn3tUBltm1yX1+0csEQRxrm2h6jahtQNpy6v5cnEq36w/bI5
pn5nnUtFGAEXrUD8p5FhObQzR629reFzYkxYsZgK5ekdChg65t7JmFN5yyaAzdcihi70DOeYYca/
D8nGVAXAN5MT4Z7RLDXrRIz6GPodYDZ+MFLZjdeG0dOGDo+Pv8a+72Ky0knaEQ8pKtZzOWXtEyYv
4zzlAIHJRnZ53UDt+nvbZzRhA7h1p3YsNFz0tvyULADzVd4BNOH+NtOLWQfewR2UcSOgIazZeV2y
G6xd55JxmpRpjo3Fdd9AkH0ajUWQCGaYOUtdNzsDhFwJwmDAVTK33V4EabS2vZQGNubAzcxwZB+Q
a3bsC/u9ikJra5J0tJaVyJbVSh4nfEhvQS1AqwRlM36iIt5SXddUgrEoNlMq0m3LnOgSaFYUVv4a
XnIp0Q/GpnsQDf474r2nTWPSMLQHEp3PaIxohFeqS/yOhQSNid60tnggUzmToPuzGiSES95k8hAH
Eo2BTPLFGTc3ffjO4h/uosTUm9mTFe6wnpTZMAo45ZcofPatExksTHXsHDzCb54Nmmoe215gOog8
ZbRZmEZ1EuktTYvyOm54LmJcYM+V42XHmewoqMlTugOCMaOEFPzXxMW2wMz/aQhHiGZS5aVlnMCI
UPixkOaYuH1fhedQ5zeINZuXJY7+Cu8OjLGCsHKqgce8M1HyDo1Tg8X1A6RHWk8EVTtVJ455isL2
ZGg5m92BVctHpwS9dECKYFA5kcCqgtug9QeqWaZnoO7i0nsNdMaiHiTJUE0s3xOxPcjK65lGa0I2
mb02M4tww7CBe4GMHTOlesVPxa5rdglhNl7sqXCHlMLOQW3U/Ht67DMBanbeetw9pl9v7Y4aNKoj
qq1iaChEnN5ib4p1lU0nIefxYTIHeaEWzda5HijLGQNUq7+c+P/TIPJneiW9MHsx08KARz9LF+un
s3MvKsaJOjpUDh4fdj5KQSJQhqF2YcvFqike8VF61nEq2UU3gPGa9NRbZv/QWT1JaBF042cMMBTv
TDLZpmVLVW3E1HShNVNNxCG6jywguAKxDEfPwhdZDTQt4PCWuvVINCd9ivfvNTKd/fGhm5dDSTFh
U4yCGDQc8neoWGwrb0DXIHfNEDXTFeHaFGS/vhwLm+mHObcvbZfxv4tKSghUbD/NuXs/jA3FUIS0
+B5dvz+NHXw6B8bwqrZ9GCR0uzD7jY1+Ixd7etAth24dcSiNy7F+yAv9T5/oP/1AC4EPZhqaBfaT
H38gw4bx0LEBItrHswCcycG9SW/luaFXQRy0sZzjBtNs3i3pqmPVUygXQ0kKkyQEI143TbUcJqjQ
f32pFgXDXxUONF1sWkImrRfTpQHzk8KBmWeG0zFODkFJtOomL/FEvMzW3DWfrGmeNcHhPnVsWTD9
gA2dUrb9+gP8h9/Koo1LUiUTdNSd5tKc/UvbZ4hgPM5mGx7s0ffIyS2aMN50vgzMG0mHNOSYElT7
WMVRCC08mAv6oE1wExatvHiikzfMRDmP/PpT/YfLwpQNFhcHPkb7P99AheoC5OBWeCgMDg2kGI2o
k+KS08wyPQE0YlIzd/lMWW30YfX663f/eFx/+lV4e2f5D4c32GA/XpNiclPih2auyZRxiIYqMTFG
aWB+JfwgMF4BTqjBU5fUDYyjXA5uBVRB9N2Wrsxby5kQRa9E2obRoV16L5Wmvf2N/A9OvwWiuX+4
XObPOgjWHxdbkSPpG1gO8M8fP3AkDR1PvWvsVWSzBprlXEQnr/t/7J3JcuRGFmW/CDJMjmEbgZjI
4DwluYExySTgGB2jA/j6PqCkLqmsq6prXxtJZjJmBsmAx/N37z13vepUE8cFB394nu1gNB4qe2F5
MpUp58BMeePDFHocT4kDJ2grFmC1WeHyn5xO/HMi7Z3svtdDjk0eeqNbigHO8CgSeayB0JRbXH5j
skvGpj0uc8nfLmw8oFgmZ3S0gAvB5/dv53+b6P+0ieaM4I34r6WgG+qh/iYC/f4Ff+yfA/M3wWNu
mqTg4KN8m7b+sX8OLExB+LYovuDt/g8RiIQcG2GbR8HyPf61Yif+3D8Hv62Gbd5yjs08Z8GW+C9E
IOuf188+MFZyeEDR4XlzTfuncyjWRkJLqBAn8ArUStjZklMJqeIL/OLjlnQxgQwcKxRVcuex9BRf
BEQgXkNKBZ9ExWLY9bLuhRB595JMCCt/+Un+Pz7h//lA4tXZJt8+L9B2PFDEf3/AQsI3MQKre8pG
t34XqYvX2kyrc/XdT9rIYj6EyqTPWNUk6P79380pzJ/+1/MoWKEaPNiY9XGofesDfz2jIUuwGh9k
AxEr/lE2MfsHPcjwKg/JaESeEv4Zl1QFzXT2/MvJDeWTxX74bVqq5dMfOq5Sapmdi6RIul3uDcWh
L9oh37VN7d35aYCRmY5FcYp12Z8t5ai9ayp3s7QQebOpRCR3x668Se3ZxCZrjRB5AqZDMni+H1Gi
gEk1GFID0bv3JgYNz37FDYATgZXbhjmjvvQ7F8QPQ9E9yZuKm5RbsVTrnSDfE4gOU/BbKZd76Zov
Bh6CHSH9xwGiKmUkS8Ox43uqum5dPgaMdJ0429oZjzPzzzbHLr3JuDkgw/l6hFcKiH2rUmpJS3ua
f1TU2mE6xod2FjqLwcvN/UtAKTouIJPUzwYLxEQtpQiYx5183uuUnoMpJMhmuDZWBypfmvv1mndn
dlJaEexShL/a9PhU9s02CliX7PSA/3s/OhM8McmjdD9hQSFi1TRegTyY9o/WUKe7qvf1cFrbV6nE
tqv+fiLWRUOEoyEWSM8y96yt4mBTxT1r+A18ZosYZbI4l3ibWHQkiQSrC11tZSYvLr9Wyt+PYrRt
2v1oYdtoIX74kOlhO3nVbV61E2iuBoDCIJgU3RYa1CYxJ2pNsqzdtz0Zrpml3YE1aPLZpDbAelMS
hxjHiCc1PHm2X94v9jwS+6wHELkZnR2B6P331O/VcSnNZRcWqj/OElDgvmeQoPI7w0C8ZYE19dux
qboDyUiL1H1Ai11gxc8gH7lF6HRtVfNF+svV5nhj1XiTNrLyy1980uX1xl7gpeNMq6j9Bk4hN2i6
wtl4futlEc/eQ5oYmXNNRfwgMK3HpacfrJZgnto0flWP2xhJJNlmU4xtLsD3/1llTMLECNrsYJu1
/mQdWlob6kvIim8UQqt5BRille94vQp1DCs+A2+6DsL4MiwO0EgnG394E01s55m0/ftiOPQHxuEw
tTwVjdF/VPGQFVEb9g1GH0J/ctcPbWXsanxtV+NsVTNCrt9bu2FksHmYHSqkjvjJUI+NuFp3glVb
JlE7pIl6QwBAkMYStfYozqJij6Nz80iINeWjoK/ObaqlwhDl1O9dzdS6jqq81SezPrF3z+8hvayH
Ifs5itBldZMtA31AQ92EhANC/rZ2/d7mlBwwEEtLs4Pp4vUy4nYvvfQyjPly5NVPCRbcpiYjK2ut
WCWI+lWTm0HRECOrBqDiTrAj/jcZm8Gchp9m1g7mVQZonGLdmH3/VtmqfmepG4qIvSIptvUoD/nO
2eywc9mBn2Ysz41+vJ6kvTwXnWNQhphrZ4HgMcV2XIChdF1rfhfDwGX/Ihilyb/yhEIV3kezlbh4
pKxFjz8qanNkRzhZVO/gUEveOu3SXdbt4l03ncUr5o5aG3sNKyNbff3q0JARuUEDGidkAWnTWWFl
E2uShGmurnmwJFyWm1YUcDjQF2sRBWxgT7hecEphd0rLc2lgEOJIhDcJc16hjlLSPV67DakIxkUR
D1HVtf4b+wBNmBeycbgtkgXbZY1sb27Y7QTtJm18/VoD0rhOvRlDD/nXehMHJtXCLGh2ue7qn53V
PxGd9k4j2y6xRlD13eAVThEZkODGQ8DqFytaADGcUZCogCuyeG8RJr1KnTFmv2OQqkoLzb6UNauH
dDWID2BhlLOM1Nzv4ZHvMrvG6w/uejq7RVZfEs9K6bZfyAD1DYuIqQmUwFzZWpcO+KJTyIqIkEYX
k1bkc2bhWw7nyA2bguRtU/o2SIcOnxvCLAzBufer+VBpB/qnNXpZi18WTIZIhAuajwO/K53u5X+D
Y9XLfv7Pg2PIRPFvBse8eEfrff+n4XH9oj+Gx9D9DasB54WN42flKzCd/TE8surHJ+StdTb2txWI
//WneWF1EK03bgYXm3nvz8HRAe0swC3DycEQwdT53wyO6Cl/n44sE9pDaDM+8goQ0f+5OqQd87Vt
y2ou3N4gEeMW+54lF2boPrgTzAH1SYSJAQkPvw/OntYbjCekjwzHj2dz+Z84ANi4l2Uo44NBC1r7
CLenuMRDKrPbntLINxK7/qtYvOoitZListeZHYUGF3NkUFle4EDFEpeHkFzGrDpnqjFwK6Sq5swf
1HIoZ+tAY8y4TZbUVvsS/St8HeXsBEd4ZyxF+mb2fox6QqiYbeGz8ZXpmScQB5SDbQhSaEKB9Pu4
EgmHbzhh3dZ5slcrCPrMajLtk71RlKa7RsZlOrHNZ3mmr2kN9gJ/jzdxUdfkf/l204lTiADxnLnx
Ef8u8bRdCfsG13yFRQv8FOCZ0BYwntBRrgMbEqHexAU/T7pI53JgyReL0KQ1dBx9/JMpfUofWhcd
1aJ5Sm0AbaYYutl3Vlkd0z03tIsBgnlgS72B5GiU0F9Cet83abBQAh2ROnOXbe6NCZtSstp2SroL
x3e9ZJ+s0+dOEPajwleAUcDajmGf8OLBzqe4vYbksPbcYak2QW1t6H91NhrP/Cbr0uqUGsZ4SISy
H3LqqtBaOpOSBRJfd1ahxd4L1fwOWAyzOWaC7ZzPKQgD1BtSnvkZJpJzqOnMOyFgD4e8Gimxbqoa
xvxYDKdgnCA2pljGy4oKOC9NbtDDKwg5xRR5JKIit2deybykPnZLGN+1pS5f4sqgTDePi2CzGKO6
KTLvKa/L5M5BTrjV6ejfwTgaX1NIAhSY469vVTrd8X6o0fxqySfjFN9SLjaDRVKGvdXDwKiDUhNp
S/rUi+XxcwrP+UgBl3FDEwpsTqSHcD/6rXOOvbg4GFgplsiCiTY/o0fSfxsX3lPjWdUDunQOqDxO
E4STrHGmLQKcP21pZ1tOVYs/aRP2XbmDBdyfNAP6QRd58uzA8rgMF4BSYLqFfmTd1HEnUC3xwIGg
4JelXQZhx1/QodAFq13OjgJuqi1uuc/5p1aLxwx3d5cNrgPta/LPFuYKuoblUlSgCobxBheLfQlu
k/YslwG4z2Z+10PRtXdM7NVz203VYYx99VPb6YvVAHTuiyC44Ddd7oBKuNu5U+DN8efcxV6XXlTu
1D4mUCF+DOix5Zqstz+yujUvjaXio7xpHP9CF1O4dzP1i0hIfLQE2XzQZixdYz+jgTEYfpheVrzM
DFgvju7lijsM8pcG1yKoPp4wz+jbA0tSexf6ut9LBYKvhgwHKqU4IF0Arg0rcaGnDn815TFQAvla
A26vpBREYEPkGmDK2yrOJhzuilkT2KjDu5idbgpMvtjI3ugi12jmXa0HELoxYVx+Lj3ArSLdJoa5
JaSrAcuEVcRF2n52fcO56Y32SS7tQ6YM/3MS4BsxTa9JU4Rin928WrJHv83cyxIfxNnsmbK4YceR
L5NT6Hb+1azbhkdj6B4WmGURHob6wxvILiq91LdOHC4/G1aoFH0YxEfDUivwdIn7lKQ01nkNSIGN
LpsZE3iYXLm2Nbz2giAuWDCqeUtzi+JlLczv7cUgVfLeOan8VWhG5W5szvYQ653w9BSl4wDwi8n+
6Bg+Ssqk9Xy2JxXQ1Ohxf+t7+vM2uZua1xbuin3LdIVmYgb1XZ510MVVb7FbX+XmsZM4YjAB4UNI
Af1OR5u86X2t14UYnV/Ow9jHwc9cl+zhB7naAYJVPyfXMd+7RoyShkr1PuATuww9+BrMOaubDdrZ
dJtYVYwVK0hxz2uavf3VdDCzY732kermTTLAvbYcxCUUO9IXJRPuRtFeezaA0l7DugVbokW97c3p
g9aT6t7S3nxKjLjb8ocioGR4slH8wgNy13SmtQUWS6BIZ9at+KoN91Oqxj5bxAAAmzVc2osw2zVs
xHnIYYIBqAuuQifPz3C7GAWz5SM1icQ1JiOcO01Ptdk+kDE1t4HVppSNc4OQcGX2ktXSwaTe/q6x
2pr+IBtomtvp7pgY6XWRj8neHWQctVVrYWsV7iFD7NnzvH9kSxXcN3antymD4mPiQ+iw0lZd6CzH
Ed/GorgSNREb0VXjVV2ZyZHCgpkNfun1BxcV/Y53bhlVZqhvJRrIZzMhJ21sZRU39CUEz4kXuxe8
QrIxwPK2tVDcFotclLdlbAhqGmfa6Yhsb002SdHcmfJstMDqvKqqD/0wDZE7TP0r4Di4+QFFgqOf
v/Wd9TNrVA6Bw17Ooy4TcsadTm/dgLRZ1dVULpSpvZ2dqfuyyMzvBmseHjIId7tvX0edsPlwcVBE
MAniBzla3TXLn/6gQ6fhVUBFJAfjWLtsCWGQEcBC929T46SR3aWLQlrpn63pFm+g9od9Aojks6Sf
bzcvYNQ49t7SoPjVUk9/AuK92hdy8ieC/6LOOtzMEGGPZBDNk8m2N8Jzae9xNFnnRRnZR5gFwLyL
1DjAGoJ818XFXdYXDhp2Jveqz5rTwECyG4jSHR23XksPmLwMXYtDbqfjpSzpWMU8hyTbW4YRmSi7
20nV486hvfajF1puee2PxJms7TCn3lGPTrOV4mpxtTpWbpljMwjtfW2Jj8ZUdwOlDZsK4AC3xeXA
EW1AXTV+0BAHKjIlKCVp39h4BXzC3Kyv6QO6883uACUaunQJGBZm3LozuA/IQlygPSb7CsDrBqaM
vfFkhYuLSHu3FMk+dim3LQ3jPuwmfSi8ITy6c4YQ7ZR3EGduEW5TKjtN8No1blOvmEFvDVYEkaI4
dCT8o34BAuAmdbAR6UC2Y3QWDmHfuTF6nBOc7f5j79ryuGTEZ0Jh/aJhHabRTDaRTktiaVIJPsjy
lM8DZ7jTthV+yHJGDzZ4+9WdcfSmsaLjHfJjSAvPZhQrIztUw2kq25B0Z0Jdp1yCi7Kf7wop3mjD
ePrfXer/5y6FGGT92yX8Qz38Czv4H1/6px08+E3wR1E/DbT59+vRn9t45zdHQA7+y8Xpz/uU+M1G
XCYeRyja5R7AlvrPO5UNAjowhc+Da3FLA6HyXyzjCez+/U7lsvQ3hekiTfI6LAwAf993D0DOqjaT
NUlln8VQSISVMt5KhoeUEMPeq0CgsgjJgjvabZD/bFnJa+3RBTYCOgmi1hnw68XSeWHSmm+Ba1UP
Y+fFb5SpY/hFPVP4RRZxpOyCjxGSveJSri2lEOzqaaun3CsjrnMks1Juf86Zukt4XVZNbWrhCgfQ
QlM0uyaUbBqgYWoLx7WXTtHCBeyrK5kYMEvP7j43OvcmZZlzm6exuzXqaTR2ZmM49LbMrBa5u1ZZ
ZDipnaI8dPCh6tm7sklrqm1vY54dSse50EvgnCgPM6vdVDTjq1nyoiCXxf0v/hZKHVq3YkseD0Bh
GXsb+E4+J8PvXl8WkF7L9aavc5gTmjpik4z2DgNQ+SX5hR8FuuCtVwnMpdYi48/FEw2IGyxIL9Tf
cMWKeWUvLkPcS6XN/B7AxnQbTzK90UNcPSoW7Dc9AL75EuBFIvjAomwYprEfYNUrCyuG39LAdlpS
FdxNOa+r8RQ/yMyKaSMxHRlT9pJN/t0iF/VmJUFwGxdYGDbM96YVxSEe3wijYL33gxIyIPP6pEp1
k1tNeCvAD3BXhTR07Pj57UfWi+fCk5y8abpaaTjGp3QsEQpFVT/gYwvuDAx91xl71204B4LQO55c
qtawjqKenLArORcGrOkTokR9k7cNsuXilvPO8zPrgsFCb3GWDG4k0Wu642KUPd8zIGVKbJqfmhq3
15Y104syZ9fZhktDNyqbpe7TMkoIH30KLC7Qc3g3Kcxf8+yGD1S1JXcT6YWE/jNuS1tBtJMe6w4J
kwAqZilkh/cAU9w276zwrJTjJ/thNonHTlklj7Hf9MtpGGBnHGQ8GGcb44/G5eyXmENx5eDDgu3T
0zeUCxb5Wg33LNgFw5Yz4RQMDMvZWK3nPVXW7F6lv3tinG+DDODf1S3jfVtnEoKn+GiMP1w13xab
+dtu06zOG+PbhEMCFENO/m3OcX936gR+EOyT9tvBE1Po3F/039ae4tvmQwAKgw9LG8GtfXUCURhl
PDDh0xSdx1d+WfKpvjqHUixE8eolKr5tRdnvHiP7d8dRUpo+0OnViSQcdAS5rCVIq08pXh1L5upd
6h2zOIHE1c+SATUywrS+QiZqdh22p2z1P0kwMewkM9sKkDpS/ex5ceIdebyNx2p1UNVty3JhQFpW
CFF4rCgxoo1l9V0x9HZYsCpew3E2JdascbCHaO6n6dIARXyCPCyiOazu6yU499xnUPSsjjm5ni60
zIadDx5l51L0Q/cuvfOGa3yKhZOmiOHzxMthCiyYttK2NrPq/WsuzA8ECIi1J3rVOcSz1a6sxmGg
bmoe6hsdmPdA822YgjTCokOBIHSb1WDPbSDAL7THcrHtMlFdmpXqfmWzf20udvxKzFIfJ90UD5VH
x2M21h0bCrA2LsjeW2j1zr5Z/UBaptQiecu1bALyoK7Zb1OqaPaUkuDONfgqi1pcULltrTDlLa91
zPUOc+jNotqrXucx2/mU0m4iKIcmrtp9Bgruitlb33gdewrJypk1bnOopBXsZDzHe7xGGRcAQdOL
BU9iqen0K8aR8h3yM5dzgQt18JO3dZMeJRYFoLmP9RLSVr0p+rp9IZWuj2aZ9E9gj3reGNo4JO30
NbRecZjxd+76FtfWaNnxm5MLo9xMa2oISaLMcCfa5mnwWFIfndIVlxURl30Ysq7ZKPZDBzXk7kUA
lX07GYZ/N6g0PMiFj6as7CQjrctAOHqLfz13DbAerBoy2wWN7Bn5mvg5bASPrChjiNBDCsEgaH5W
dV5zG59k/kPhXGSXPgKNl3awL3GgH2ooxq9Kx+YLw7pBUIo8VK2r5ZptV305N7o9lk4Z3Dn8j6vO
m4ybbmUA4cowt1aIZTjpkCZastHThstGbl2IKUvOYV4GIVXRosEjLQd/m9uUJ24aj+2Nq7m/CVLm
25Gl6LXDFXSDHWZqN4bCOuajOB185ecXXGZQpBQXlIbd5nOvzI4lVFc1kRy4kZtOe+/FWX1H5715
7WR5FQWE9tGIeRu44EUnu9tOVuoebUyem7FzjVPL7uOXw2LsF87WtSkJbNuWm7EGYo/35aJaiSvb
bG4gNQlpPdUwhO5TliWfgJOSnQqb4NzE9psRDl9SVskPnAektOfK3HaueKpcYeCj7WAmOvnIogP3
4DI38VPSugd6xt9ib/gI7EYcQOD3pG9YrDpy/jGPcxj1RW1Hvk+ZGxVNm9ExT1BVUbotW/1KADoT
mjHqyMbDeBztoaq39jK7O8gy1m2B93GXdzq/qyzvukpQ2GDTDruyt7lT2TTq9FudtlrtOqtcrpO5
j3eq7D5pNnic64hRivmCUmKYks6IG5TsRyQoK2g24Xq4Qipdh5km2PaUm24mPuV2aRVTLpPnj4bt
sUMknf5GPBRnjQz8X63V3hM8/YJQQauLxBBr+K8V3nsucqRPptz0L8I5Xs7KpPHAdwA9JFRiLuFw
AX0s5uxUakfmlEKrZKShYZrLkzMqEFlcejLPepJ6zs8F73muVp61t9qOxt2sRz03s0M7Fuqi7qcH
d0m7vbWkFWvPldKRLZ+YyN1t7wz1A+3141ZycYIlUToztcJg2YUHc3OuunIPSL3ctEbwESf2Dxzs
8avZCOcGXwluzECwL+h5X4mP0i6tE9Gkjho4qS6B2teXQ2P/8ksNvNUibpc3KfvmQpG06/QxUFBG
O1e5O9mADR0DLz0wsfj3Fi1sEcpWtjeZHm/syo9v6Um6aPmlU5BB3MO8TufO3eJ75C1qBUk0pxN9
fVZmXTsqewJB7N3HUzoclJZiYNdc1fdDOsAXphHVB9MuWOhuXD7Sz0bTeZA2l+eeeMs6bDZWdYMi
mGxdHV6ieH5BOTs2dsmm2zBvYt3dLAVFfGkP87PzCdyXb20BfG3ppkfdDbfK6lnLVVdMa1gOvQWA
QY+DHdh7zgw4JLSO8JizoocZLxwp4Kj4rjhjcQjOXtkA4EKptGdkX+Co5XJrt1X+P+omvNn/LKI5
XN+QsP61iPb4a3rv/qqg/fEVfypozm/wiInqWiH8zN9R4/9XQfN+8wj3+swqcDNoz/mHgub95oYe
/wsfpGu69gr8+uPGZ4vfMEiCcyI2zOy28rn+ixufhWnr71c+wq4C/2mIeGKtd097hVf9xQjK82KM
MG/Mk8Yv8jIarr/pivkjmOziesFguEsN+iUmOt7vfR1c4YjFDDFmzYOqjQfs2d3FMAOZXnldV8BP
jNMcO158GOssvaVt0XgffLA2oVebzdENYp83srCT7pYakNm5c12Z2yWr78LyTzTdBPY1+GKzfurI
a0A/MegndQ4q75W6QlcgjrM1yXJSzIHs1pdUCMawvzHFJyaHvCJg1jwVAYEi/Ndk0KyLNJw8UJxI
W/3OT02326eFaytALYksOA8BU5rmZiIEQI6O9mzrwq9nVuVz0jV89NdWzU7MpQH1ENg+TS6QOQQs
mXyWfvYYz4YxjKQa8rGJUizF71kVB5+Jl5H2I0+K03m34gFGTO34+U2wuy1kzp6X0B1ySrgviX8v
dHbC/LiMM4tPNN3zGO9HfDrjbqmx9ERBnR3pCFKvUyWhFxWV00OGmYKdhpD1Oo9Aw/DLp0fZyYcE
Awu/rCG7ajjAjpmtn7MaOStDutxYZZgc6SjEEdSUSfoiJ8nVcx7lyQ+mq9ptL1NUpRc6/aotOsKt
U06IlNUYcjtOvI9+ivWmHfQrSRKuB7hJ8sk5JVP+PI09BUahldGB4/5MJOgoJ86HBzALAB24px24
H5F+q6iT86HZdH6KNmlXB9Rdijrls1fYX+Ts+8ulq2FV5cn1giECBbF/rcvuohzr6kgVqkKEcKKJ
cr9NNyOoKGUC4W6W2zSB853b+fOa6o4GTv1dXo6/2PB5QLuX+FaHyHcseo1NOKx1804c5ZyuB3d0
GZYhttgQqKNxRNtL2NxzkON6oKyyvQp6be9WsNsJcVbCmlrEZjCSdLt0TfATLWA8lKOQPymbRKdh
JbFTjTDuEzW76KDJL9xI9Y0wKPfo5fRQlXNxIO1F6apU8ljla2Rdmt4GRxDuYnDo+x5gxolzId1T
jRfuQdDyqZUa4WH09C9acMoTF9k6QvojCZwMEurRJH/W7GO3o6BiD98xcFGz7MAwO5CCKmha+Hs9
wGFjsUN3IEhtT4+WqMwNbUjPRhGfFvDpm7JT0MV640VQtbRx8im7SBuBZ0i58mvtMHgDc8NnJ031
uXbhcI6N59KPY+bncsyHS8/reeKHNmgQ4xfjq0ZCR68Cc0BTkR+Y+Juykc+2uZwMUDfmcM8GRfsP
hZurWwqhaf5q4lZeK/hyewbeYLfWH3ONob3psfPKHgXEWpIDjTY2rfNJW7Jn7/nbeGOhzFFy/zEU
jbM143G8zXRubceRt0USjgVGsGmaPxvFobpLfHe+wAJEdKqnHRTZhLcWZK/ZM6dtw6tdDYy6/7JI
X0tu7DF7r2kY0i8Qo2TDAx02XMbMRulrOxDdayd4twC7daF0W2NpXqZVWB7Q4RXihmEfTJv1bZNT
fD5n9OKmNafEBHO+NrkzCO4GKzOIXLpqnB3iWXFgXiKTGyw/Joy9zz6NU9dFZgCiyl/sRZpUwFJL
VTbc5I3Gvc5MO4+gjmeg2eVn3AVtJG0ln8s2Q7/BJCqv7HYeUXcxs0WLVVq3LLCe0OFy9sggEs/K
LeoLK8Q64TvjeWSHdu86ofGQo/a926WQUZIDxlvKkOqJIUl5jJFMaT0jgbvn0mdeeTHQwj7uufX1
fX9ddGkNa1Vi+DTM+dCuTy2aqEemjhxm3BAQNuhkhbs03uJUkASYu6O2zBTK0LrYboKFZFTsVXcY
hV7ptxRHdyzDj9bu7vzJZUHe5fhAnaCHHrCuz0nh7mxnPLmFFeBf4N696S3Vf8W16+4yozcuZ4yQ
hBBZ2FfmQma9nnCHJcG697c4D4L5WqKl3CyGOV7Nkkrmah4AyFRs7qcO1Oro28OO9X1ySEN32pja
DrZhlg0bZbWH2UhazuD+Khw4tRZnnjcYV3gnEp079blLA5WmQyKx9P0QLESzAlaC9ap28L2Fx2aa
DgaNUafWHGNu1pPJFjEsP+ZVOTExG26HVU1RHd2z2bfEArune8SlAmQwyOeocYsw6vrmBFMYV4mh
vqbGfyqlX++WEJnI7BTEhBmktOFSr5NWU7ofhnK6MPLmc+W4M24OSOwFnlW93jptv7qxmUzQU/nF
Vuac7fWqGi2rfmSsSlKj8PniUKGpISHXZwR8z0OeFVjgcs67xntbVkWqWrWpNO/f7DrPL4WKSViC
493EDl44KjqsM++B7tCt0pbO8y/sbOF+Ustbotb6gm8RLJtFfBXXJFOwGHP0k3H/Sbm43ppF397G
1A9u01VH024w8uFuo1ebCV468cWN85fby2JfCAaGcXJfSiyWoN265rkI+KOWFseI4ur91ZJQZ9TP
cG9wiG78VdSDU5LdhXatTua33Jf3/BhQAYcyNiMO05pTW44vADv5wOidBykpMRgTlk/ZFHCue7L4
idnXxpCM2Di4pbfPKDSmPd6o9l22lGfbsvWunxd3Ozrzzy6NZ0D8nr/RIa+B8rx8Z3Jpfu5Me7nN
na7mB7qAdt+k/jDRGpArXv7Y59krj33es9SpgsfGF3ytY84P2LhPEJz11ijC5G7oCn0raHZ79TPv
QXie3iK5X7t23R2dIUho600ztcPJxw+a3a77xJYSopHgbjH3wc5dYs9egY/JimcmkE9XI6ZnMurW
Nqltlm9TxYqN3/OqwtY3o7X0R3OZ/KM/ieBN5535ikv0I1Nxf7OYjgGNfEzHY6Z650aU3sgSPKMI
EQt6PyKhUR9N1Jl9thC8I8zyngS9uCdN2JlbTk2DEcNW9la4XfHVtQ49kTyoCb9TIPdrsLT1DkpZ
gkemYgV/5JILFxvp3ovmxHlQkiYtvzfP8GezH7DHzZ8Qoi8KTWAzyuo02TaJ81l4nWANJ+0PXBf4
lxZCOPmGfN50Ut8WB5lTEhZRRjF9mKsZQn3bIlaDRLxaJUYaHg+EjG+xkF3GXBHpQefjYDpaxkLD
3uiN/mcMcXmb2p1/E/ZCvgjVutSASxHhGyp2gspMkuBqYZnTsFOue6e+bx2XLmpafrtriClE7s24
xs3TqwG9sg36MkI4wGCyWk2Iy2f7eLWgkOWwd4rXdehbzzhkmEPLQ+MX8oXTLH/hI274UdDb8ZBn
PeWFhEtPptBMvHHjXTTVSOBZGl1Mt7yni+fEltl8ORozNu0lJZIPyKSGZoiFVMHNvrBXI05aTla+
mdyKevMxobDDxLXTL1P/YgbL8CmUHo9BV4eXdZb1N26Stk+1I9qc56/O+shpvCgvBe4ipqvlOQTe
WWdcHzpaoC1O2C33JECrS6gcApSFmsedzHgeLsPALctdsNqbNCWj3o8EpsYSjQGFZkQW3JAHscUg
RfCSzb+bu9615+Tp6+hrAtiEvh+KpYJHg5fMuCqqSb7Gpaj2pJ2he5bLVLDxr8wIU3wSbFz4OQHG
VVxeJv3bd9C/quNUcry2ZfhAtKJiCGuGn9XqFzNSP9t7/ZJctt+Osm9zWV+O5aOVYt9xTN8+6NWF
lq1+NECaaQRTqdgqYymQYFqaEfXqY0MMa9tILAg52ShzwEgWLTPVQqmLnVXHwZ+SW1s58Xwf+Flb
30wJhJooJCJDK+s2wAHJsFCyIgVOQfDXRgj4ZNyUKxgt9xvtPhD1/oamDXMd+G13zMIUGiM4NhBr
xeQaW6+DPIa/sGojp0s5R6cAv0+Ns/DYp554gbBSDhGEN0gnbc6z+DP0gjgyjSxOznJcSfi8hdts
RwZBR54NjH2bgzLg9AFge8b0qI4D+Y37qQHEUGK0PyzCS6Oxp+2d3ao6tbwno6F35FlloGxje/C/
yrZ2P8xqXZi3knX1YSrVY5eHsXy1LMTLEns9W0aPZqtuWVamfBD8gmiRHD3g8KTvUXy2DVXtz0um
zZ30OJ13IUSifWd3y7vJYH2pZyU2Bffj2lfmoeaPBSHa9HdKSfUjndzyXmtLXCxK6q1duioSqUWs
w0pLZ5fkGLSgojId/B/2zmNJbiTN1q8yNnuUwQGHAxizuwmtUitmbmAsCmjl0Hj6+yGq6w6L3cOe
vuvekcUiIxGBcPzinO/Ui8Q9xVWjdVLeSlnnJCAK+dJQRW7ZXBCFVYhkG/KsozhH5jVaut12mXtk
1ttvShr3xzaM/Z1OTeuzA5LyAE2jWgWszlYZxKCVG5fRPg7tfqNLEFx2nCs+3iYafs98FJJIse7s
MfK/mgW6E34SFKmmxVrAmg6kS9eUUl14SWlpxxVRucOW+6YmOnt0tjUrCfKi5szEBB9H2yHIAdVk
PMaD0Ug/Gmp6yKVufjDiwEYiwpOkGFRB7mTGFAxY1ISkw7Z3hAsinPFd46615+mxGmBfsqq8GXFi
srwrbE0FbmRbeJfRt6pS8iYI4piDtg7xzmKSSRsO/o74wykDaYpzCPlQ2vY8dIbpIWpN/7YfQ2Tt
jDoPqYrB/WYsSc2mLE+xKe49D7F80zTkwXeL2MxlK1yQlE3sJRvL29SoNaZJUAIiC+QqyXz7HXWm
C5mwwQOZx1H+blTNO5LBdBX13l46oyDfs+q/miMPVi825+MEX433r0OI2jstOSFAw1jpsBtK3BAf
15x9Jscu2vZ8WlA8xk+wns5RCHF4rjGvZJ+apF/ut84st5CB8ciMtr1VCxAqi31IzHHjfE7Rh65y
CMpramaifhb4abaFrLjuQjkSmqySgrulcffCTN21pWV8ycIwvWf+YJqbjvBLb9vjZbttWupt0EkE
IC/jn9FrqqNf1xnpbP18YPdvfhsKWrSEfLADGEPCnozaQinkMhGo9Jc2GtuTS2rtysTOdWKutYmi
qTqy9Kp5ABvpieVo/zCnUQi4pv6dfo1SbCpibANzkh8J7u1Tsuqa6Y3lAkasfrixUQu8Uko9x0ZN
eitklnOkkCbU40zhWEZY2OZlzN4ZelP03Ycv6ptBTDZ4b+u1MDjyMPDJXaUgMg2O7b1Fo8hXQGVY
cJtev0ZW6DwTZU2M5Jxa52KKLrFRvLeVS8pIEz1pJb7bnKS7YaI6KsIKG1JpvdsRMFq7L+TXBv3e
xgy1jc8lfx1xXH6vqtyYd2HhEXXM1IPie6xIZptV/khOGxTiMkzEpq284KM3OzYeY9+D0fWn4bFG
AcnKzAvY5jCAGHZOI6eY4p9xucxG5Fad7T8CvycFurKdUnF5gduxLohag29CvlVmqk+MwVfDHGNI
m8Jgw0dVuTdp4lR3vZIMCUQKGM2a01isYM9kIEm8TDTbzoyqW7iF3pFf8Edp4X23QutRJgThprBR
Tlge09Pk8HDFwfYlSMFJ7YlZwautlo2Eiw3YycbTHLuwaUzxqnkkYSlBAN1ZyyywKhhp+x3JsEKx
6HFgBAUxWkLLoRIOG4sjQY26Hw5J2R3cvv4Ivfk0csOTG16x2QmNm8Bn9zpnTr1FTniqBMJ/AAru
1k1Vdqocxn9ovJo15NoazdxorQOCw3XYP0DS+2rmMXd8MDks/YuHWi7hLfnkHguJGNY12mhP78IA
cc6Nu8GSbzEonHMbGNVm0Cpeh5kN8tisQngiuTiMoAU22umaI5xRk8lFW+IBB1oyBP5DR7rWIQkQ
vkXl9JES1bu22sneuamGodLavwdOL54Gz0k3amTvvkb+PnxzGrd/4uxDpKYgnrqEjJ00vHLPFMla
BAYIOTDKzFlIJdxqM00PvipuZJs162C2Zbex4sFnpx2KnHWDGaWnBfUu/LmEkTNVnxtRlkTuSnvh
1c/zF9R77BuImzQ+lyrXd66ZEYrMA0+j3XZHgCWJvrjQiddgY5NogxeO1YoMt3Y+Tb9TZ/HVCqv8
M0nV3l052MHN3EbdFyNW35EeTECk4JaeasbQD/MoA9g87lCsq9gcXrzR6e4JWJfzrR69Erijm5d7
pqA5Yt2WJHRkwkQPlrgrWfXHIznhMZY4JAYVomorol8IjFvipJ2eeONGHuKgf55C54UKwXmqoerj
NJ3aA98DhCS6YUvne6+DB78cs6j1FEJiW4Nou/NEE3zOR3hvsHS8NXQLZAoZTbpxHiyKmgspmc2q
bvvoTA3RjrsQTMsasZTqQFdx/qxUS1Id+PGB0BwQZpB0mIVR0+RKrAqaG8q7oazg06hSv+pK1ue6
9jwkx/Dt8YGZzPgmMHrriXPhXZGDbN+yizKfe/4BtfGIwXnrUuBJfI0DhkYMqIFtFVNzY3dVd3G5
e4CVVQNi0rqIkXRWFWQ2Bjw4H7uQimkayIy32pxgvHaphDhl3iG8uB9SRyAgiGpvD5UHLK82xpqi
1ZOoL0Mj69egJMYnp6sIUyhMNmUr2jCPT8LwX7Or8CJC4b0pwoBoGmZq0+OU9iPJiXzRtjMIJihs
DY33aPGIpgTNq01vV98HyustK4IHwvqwyjXKPFXIpTZO1RGxEAf1wxj21luSUIFjAuTAnrUj7pt6
ofggx/IeG0fzPOUsK+8zbBVvhoy7kx3VzGUWfOiNnoz2La0M89YkQ2pvVQS10rw29kNDWsejbwS0
L1oE/tkwIut3iB/pqW28/smybIaho9XxLS0LjtVV7njIRYlfQqhCXgJfykHyxOoGpoIrW/thcsuE
v+V54ms7OyfCmpxdqwaHTzonv7vVIVHXaXM/hw2ORTVV1hb7xPhsEiBwSiRHZZFF0/esysU7yegU
arMCIsekQ99GPoK3VZjE9VunyLQeDJ66YSl5mHFLbWh24q0ZNsm+MtCdrBiNnnUwukuae7utYPVf
KlEUDZW9MC8lGOIXDMEtnscRngYKJ7lWWgYcJ63xUKV1dQtxzzvkmJ62TT9X+6Fhx21XBE6sDD20
N16W25+Y3oI1wxn6bFLfXXRZDwQXUP0zznSZ0hggCqOkXwOtBEvFLoNMoia/6Vr/i9ELeEoixyYR
Oe3GIKHxxu/5amARjtjt2kdYdt499q7xOExOf1KGOxP3CUFd4inmpvHdNfNmfWrwRN+gdE4vcD1+
J2KT2IZgQmTuTZ/DKSd6XYLVCUixj1YiyJmV6ekVg0+wczWJkpU121uDG30f9VWz7jXxi6ArmdmU
aTFZpLGQCmOPYqPQdK5ap6SWNWf9Hmcw22kV5sOkR4X1WbDG9dySObCAyLkpHKvPHkcnIg8j4mGT
OIuQBGBKejHcejM4rG+YsQoqjTLaCeQ5K7+cb5105r+bwUNjj9PdAAwImHT66jfWJzvksHaMYhtL
m8AoQuD8AqMBDrd4MwxRuGmMzNyQgVHuLJHKwyDzvQyTx9nD9wpZ21n7HSaokLgvDBVErSb1G8C6
5F6F3SEwrAOFVbvvMZd/GCNrEAudtW3iTDdnKuQRTOS+wu+6QsrxOfeT+mHo6gfUdtm0MkuPR7tY
GsEoM+48DKBr9A/RsS5M6yJ746s03O6mtAq90pz/q5g1GIMeX35qB3btYT5e+qoajzqr/+39/N+t
rUHosOj9n9fWr990XhbtXxbXf/ydP4XK4jeQSbav+JCvABDsl39bXLs2rlDpmiTKij9UzP9vcS2d
35Dskh5lQTWifnD/2/4prd9c4PGMXrCACtOR7r+yuF6wID+gMSxSmwQ5VPyEvMiyI//r1toTJODA
GnMOnkc/nUcR6YIh4IAf3pP/Bf7DU8LmGglPsH2W4+ZPfJ2gw6Jvk1tz6JICN31v+jSwY1B+LEm5
97nCfJ/BqQDUNMMk+fVrL5/Xj5cIMBzXD4kcyAfoKHmz/3qJEfxnUnc8/xBKv0w5r5qBuR4yasKE
00ceMOXn0M8rn+kS+5VmnuJvowHcjypH2ZsMyedq6lCotJT1a7s26lOXlhEStGSpcbKAvfakETVx
JNx0jRs85mShbP4/LsJFVCBwhjrcSD+9g6aWFQbSmSXHjI19lMAicgMkLQXg9FLboFMCkUJHNnJC
noV5Jbp23gaQOPTFNvYXgbQ13pdMaWgEgUIBDZnxaaY40f0+ZaUzAH2NuxaS89yiF8hRwf36Grhl
/+5zYLDh4zD28DRbP2niYUh33eQOPjEE1bDR5pzRqekJrV3y/devtODifripr58482YbdQexCEhC
/vqJ0wk0y2LDP/R2aB6mFqpvq7z6pFu7fjAd1NK/fr2fvkTX1/NBy2DHlstCarkDf5B+WKIpCixt
vF4Y6wdOlGY1d1Aufv0q/+D9kxDubYemFwvDz1QtX3NcZIPhHbQFxgw1w/fK9uND2njPv36hKzXt
p/fPsQToOb54SNF+PhSSEJ3NwD14sGb68tltiLfxuWemiQ9uyu1lDBMpQl/KNn1EOOFdqkyx8UEQ
/xgRV3zOHad+0NOCDVY9aqpKLJZAQiCYeyxMojKDXhBzb76AcwbqgZZf4rlJBnTJMuRFxmpJcPFw
+TSWat4GNceHX1+k7S3321+uEkGK4GhwLZeaxnfQBv34qS1MjC6a9XgYMIox8iGMBTh2c2RUle7K
JapFkdkyZprwliXGhZs3ORB20+16dqI7RjT6tromv7RkwNSqMN+Elca3DlK2D3cgKob13VaLwXoS
fl5DHgSOudYUX8+Wmfq7CKYIhneiZ6KwsKj6iaPBky6SPvzgOEsPqiWyJuwsB6sZMTY8XaJDTlzQ
1g5VfMDlOmHHI/gGgL/YN3bpPeP3S46JwdygIAkVt3UYfImwz6xzEsqPZBP1dxWAznrVL0E7uUfk
Th/gqat6i9JVVt0a6jdbuFZguk6xyL+2JPdkS4QPjb1x52D4/jpN06LqJ+onTFt77wSSyj1R2PVm
WpoNFaaEG2Cbz1XX5G9uGKXfKxGVKI1Mf2IbpVFtrobStOkIovGTC+lo4y5BRAQmZsdkSkYg4L66
U0tgEcHCS35JHg93jOxQEicL2JqMI2MJO4pIPTKW+CN0TwaesRi+katPec4CMVOixibtH8feKG4J
CgX9PRa0bqFmOmS4BfqR5LK8nygbk2pNxqGxQjZDeBGBYQ74eUybkXkkFS+/yIAwJ+Oa6yRg9tyK
zsCXOi3BTybPF1pdwqBghXjHbpb2Z41B+p4ApYa1tdn569ptgN3JHUwD7oglZKqrbftzuQRPpZEF
spyhf75aKrsXGtGOqhnzHPRdVJpLgNVAklUU2Q9WQJAcZ1t/RKc7rSaDrIkVcbxfbc1nznCteph0
dhMHxD2CeUox/GcdExpitKK8JWLFpDW0wNOboWQK64/hE9qaG+wBH9ESyBW1rfkYLCFdiVZvTG+R
LRQF05omWRtLpFcLYntna82+eewGgAdEf5X9TAgYmQirLgG83S4RYS5dC0cUsWEiv7oOy8U/QKgY
49ViPS1BY8YSOVaBfthF5DWtcUiB8AVSulDvkLNseAylcDs9RXrZEKNGCok0001jnB308pd2CTzT
bAw/J3RVoGYaF+7TNRvNtJLqbr4mpolGEJ42CXlkWZ8dxBKt5pZ8XZRBpFpK8BJzu25rYXlnGRzV
K+YtwXo0k+KL7mX4KQHs/1W5zfTJ7vVwyhkzHNPeJ4UqrOQFHyXomxYHADrl/tihO7szJib2RMmx
HF2x+2vEEdeXO9cbUStgzGaIFt+YxxfZm8XOXqp7M8ULinSEIKwJTRV2k3gvVF1cYibfzAmYMzgl
v02KLsWrocb6OjjcqLKb9obCpFQ3ZkrkWj9971s9lLeE8GSbYOGpzf2EOqlE2VJhgd3EIU8OMUPI
ssyu2jIRtrZcsT65CmL3gMlkY0XmdEbL3rwheZB3Fl/U24mYvm6TBqB3kdeU/TfoaAOOJpO2DQ7W
l4gt2Q7uj/t65SoVjiueDZP6guVJdJemA9VJT8lXlrAtVOjDeAqIhqhXnYA0N5oqfcwwdXxKEjvd
pOY8bPCyjfeGU2HISIV9HCTRghU279eybbC/MDn4OhuRecgS4NqJ5iJJa5tvVFYCm0L4eJgmu7q1
ozk4uY3myTXY+MCUzXgwKYtq6+ueK4f0cYfCa9g4nQ1BuyW0XDoyvJvdink5qy/+juVnQKAYH647
bfOTpJ1v7vu+5ZIMJUL8OC7gHbQDztb2I+dOcDCwb8IpUbXWzPpXZWvf7YITtYqzrgLlI+XK9KlX
3K/CZlJBDdy/xuB4t3Zp1adkAo+xorax2DDk9R7ihXNmkWc8TrwAwE6W6Yj22S1unClyPsD7MoMG
2tY+mi6EWOg/3aM2cfRoNxKf0DaemxTPDfPfct8kFv0/9aJ9dkYTozuHgtCdfYt/mNkj2jtYxZZa
91kCxsgOItIBumcmpYAy2jZeoWRwtggwEYUXPmaAKOz3uuqnaM/b76ZftPTq6KKbvO65m5mqo9zB
m9/m2txoGwfExWcDXHGyTuQgYu+Q0S0arjGfj9fH+78pl/8EVmQ7WFt/qIT+LvDsNdYhZtK/wIr+
9pf+7FixyUrCzhSC5kVNvcAa/9tbi/oaW6uPUZbK+sekJZ98psWSa5q2UlSP6J//NNcSwmQrCjDq
Sc+yLEKY/gWptSvgKP21cOPlGZfzT/JToN5eyvEfym2vB/ZeTqGgZ0UDNWA59XiyETSA1qC+xIO9
HckgmAqPNIJuCSbgrMNTsIQVQOHtbu1SxStOAHvnuIEIttp1vPtoiTrQS+hBWRBhsKItP9ZB+xzw
FPbWU1d/Nhnc6XjDNjx8gQhTvFqtwoubD1QCPY7Xr05QENYSUfiTY+R8LkyoQcxqWSraFVXfauke
XltVGt/S0R1feODl4zcfdKabnOJGDrcMsLc6B0cRjsnZTNLK26seh+pgy5CeLDQ6edu1lhCc0qXx
bEiH3AGcJf22QkEBUR3FR5PHtcRDaI+3Qo+oXdLI+8jSzLPODR0sbwsAsYMYhxDOkmCrmSrG3ybt
+TbwBqA+oiaHM2jS32U+F2ceGHAUvVluHPKNPumkKbaOCCRlHkdihv7sFR7Z9EhakqDCbHh2EcZc
3SPANF3Ac7jOTAqwd45tHuENFIzIbCLc/nATyGjta/e1anBGMswfwRPPGpPtakwCYOWBv2RCUU22
1l2NS5pQCMzbz7r2CLesUImu6LPhloYS94YPDGRkYcK7zGEXsgsgxMRPGdWsrgDzEO4+bt5qEcG0
xMMtCExSdRqchYt+qWElYZNFj9iF7pH5dIRyDGJETUjKgLjwLHQGreT6y0wkfK4BO1C1qjs6P0J0
cv6OY0+pe6mWNBXLB4izdlqWrYn0GJw6ncIu2UsaoiwKQZiHIzlHyBdh+xUtcU4UlEQCaG/xoPpa
imdLOFxG3vXxfiB/FeNk65MYs2SOVHiom71sMTWt9NjMZx+NDdeZk1pFFjM88kTOXNCVkIJ+CLBy
m87kyKAu5AcYwLiE7LQS3t28D0irolcJ4H72gECcSdsQKuEWyw1zWGXdBv2SXdO0gRke26oHUByi
KfqKpxbuCd4/NLx4sUhuoprN9hkCpHoN2aFv+hU+SP6A7Qf//KiWi/eYLYC2s1LeQT2M/Je5Zvgj
FaOMkWqbYJ6GCRCzVGMtjYqLCHDT3ntxry7XV1RuB869Nwgsopvi3qx7ei5yhok1GhAseGtbOpgG
5GD1855CVX42qcNJzyDV96xMXb3XFnXaCvGsPoRx4siHa/ZPateQzuB062aLQY7spNqK+fdDO+Oy
Jiq/C7Bx9cbcfDJerz+ll9HlH7JJoh0nLpwf1qkUd5kBBe7W1xnKzixtgHY1amE4oqSv5ycMowyh
ymz5SC30trwnySJAayd/gd40+B11ye/9aYHO/xFUZZQ032m55ErRSOJOHDJOKDcBGS1zU0y7Bdf/
HRUOd2SijOWeEouKLHQML9+TvjhAkBX52K2jKh2BUqftsGl9yhN8k8OjuSSo9clECBp3GoKassM6
nEUFdE9f+tWl9ehIKgc2q2MZNToPC5p+l2MmXk+6cRfySnBO/Ml/5cNEWWRTbD0m0dQS3qSb6p0t
WcOiILHGp567eJ+gzNph9AMa04cOtXvbfEkMOAqs6vlaZH42PnkKnaBraW5sSw+ai+ENuCjmBFwd
2lgbT4mD87cF8mlvHL9gQc1bhrJipNVHBe27X+oqYSQmitKztwSZY/a1GgzyYZjII1533t9pjIJX
7bqcIF0N89S18uEOzZHcgkiz6CZbe1hZdcC6K2cEd7THhWmWeVFEXOUU4nSsisesL5FB9SmYx5VL
O/fCCsLdGZTT36Sb26dAt/Eh6T3xNXPc+dULu9HdgZlLLjVr8G82CJrnznGmI1R/UFuMFNdlbLwA
FtKv9PYNKccpu/DMJ2oL4BHJK6ORXQTNLP9tLHamh7e/CM35G3k9OOwJ1WzORNW7S2iBi38inwP7
HTQWy3fAvRghmTrTqOr0JncA1TnkLFA3ji2FXxzM7sUJ61utdP7NcfwId6dHy4rhssaa2o7eLUOo
R2J8rHHLqNIGzeD1jbhkbGXqB7pfQBAmZoBejTtk6v0G/091M+AVhU/aBfdFrzlNJhfnhlF1j+zT
2MkMIIpav8GVgNzdvlQpG4+XoLLLV3DC+ikb5H3k9PXjtIQyDGEj6FKF+1S4bFJAT7XeXY1/9BC7
GV1NGJmfQmsYzzLwnufQUm9dM1n7EkiX3jtDUS6JzhWEWrSL/hYyx2GsiK3vKuu+aTAnKvR8BBKb
kUkk2YzEKKhb8wEtfolyzDW3WaLFqkkA/yFVakmpAYOMijEKouEjqMY8W6Nkc7BQ5ojDD6AQCTo2
hMyIUKzLtTea7bOFXeo9tpBW8Ci0zbsukaxaaSePvQLBzToy+Rh5vJ8B63W3rWV+LDvwm4rpNLvn
YawUBMKgvWByTDY9Q8mnyTfkeRoT8ZAK1X4HHqw/Jj8s689ja2b9Q6x0QAKBntNjmKWIBmr9yZrm
4CGKBCYeheGVUpAFUivsddZQ0rgKclhjG3dat2rbWDaC5Qm8cNYO46VeTN+BM6FXitv+3YtVsAlz
0tD9ynfumA2AgEqLCOutiVXp1jWC9IZgNKvYRCzoHwAUOxtXdsOWt8td9VKNJ5aaxQcTaGw6ZfUS
dJV5Sk392vJI3CI/coDbme/CCo/JkDQXY3Lkp2Fgm8d3btKoORqxDYwoOjchLZzN8OGmc/XB6xj5
pK7VoqnF9E98VDXKyxC1kiv06O8i0mI3YWV1LMwng6RGbhUTJEc+eOXBysRbwFJ5FWaKDbdFk84I
adGYsJwUFUq/xsJFG420daHto3mmj1UrgCVS7HwJuWKFJNR+8EKp7j2Et0+llkhDNQ5dridq1+k8
kuHTAufSqKZQHr8os2afqdlHCnsk+oahBkTpPH/CsNMXUEeSbGcVIt6MVpbg+F3cWOyLHWSgbNXv
81ETb4Vu/dnUuj9Pjb0wwfmLPcbbG06gnsCqJm42be4/2K3Z76uii/itJaszTvT6MXJytAoYkIdt
VxawWKKhFKcO0PAD0nwauUAdQTVAa0uZ4JIyGWCKyrvXqIsYmMAUZ+cESzIc+/ClxzuAaGFEil43
9klV+XgYTeTl0o+8HdNGPgeA0gPZc7mJscJzO0WEVRoBsseqlK6r0SHFI+54OmYRrgzE29m+wqPw
in7SWPUA/Z7w37u7ZqyDhAGLwN5MuukGuBYUTIwS5qgFGS6KvT2xQHIzY0k8l3KSDGiiqTuPWqIE
sKwRIATnKbAOQG5rl/Pma1J36jujzmEbp8qZD5HfZl8q160PvvaDbbaUVljYifjuJ2ZHSCsIdM8T
BaemrtBK9tg6Oq+7GSphbQJSotbTksuVkthxJuShv52JZLVfeL6lN22R2WAkcn/M75M2tolLdLBO
52OoHlGZAsFyDH+xKSSUBcUgf0+FZYY7BEuo03qTWjBVIiVqdXwK+2y8INlqtnjz/BE/hscqnDLg
xsqqipN3ssNPaAfRUc82w9tA+u9hJ8rHORjgJ+Jp3NVpN12cxnFu6yKqyaCpa2ODgQhZSJm151HU
094r4vFeOG3zHA05upj6XHnzuKl9q77LQaV+gX7OrKSt9Un0TrDXofdKoTbsGMlselfLB0ZWeGWc
Pk3THaD8MEOHMA9iF/szPLJBavSo7ApQteSWmh8726x+H9M8g+jmWxk+VaypK7tAsFfYGPlTHIvY
fRDt3xv+NN8ZjPdjdL+x0/3Oap2B9FSkLnrmTgbWPjc43I7BqPZ1ZLuPpcjeKqIBo3OR1W5wsQvz
czv41c3oUMjFHvfCkfwY8M9zMqVbpFwRypdrMl2c8ys9rDQS3/sSNcDOiRn3Q9BAmf82L+F20tZe
6N6HVlXf8/Q7tn8E4f3Qyd//sbv4D9SI92VctM3/+c+f916+CWYftYPNqlVI+fOSMMSjNFkhda2r
tTwONp2oE0fW8zwRuetr8U83ej+vpAget4XnWOyOTUmp8NPiCx/9BImrKQ8F4LQLfkro5hzMnwGR
Ey1jld2XKDOlvA17r7OPmn1qAMEdfmR+g22CGMZrRBOzTqnvcr1EEBuK7EsNsu21j8im7FMAKSs5
FwFlW66QHIam7dPQk/r9ZKkll7geU32Iu44yE/X659Lph/YJxhDu37kVQKDWhcKv/THTT4AB8EYa
tjAgQza2wyUnkRPjOXdtIjCzqfnKLVN89+a+eLJB9C2s7kWfzDKzAloFxPES0hsZy9lp0mAx7HuY
jaZrdj5AckD9Yanh5uRcjiwrUiR1JNQI78Ij/Hbpha8Bm7/+0H9ePrJ4dJRkUoOf1WQ489OyM6VC
ZtuAOtJh6kunGWOdZrBKVPAfI7Uv43+F38p/cHct/9CP+7LrCxF6SxmATs36+e7yNB1cnfFCCMT5
iCsPawgrGT4fvntLFOkSex0SQKXwDmGz/vVl/v2rs9D1fKwNEmA15qy/Dn0qYxIuYlIMSEllPath
YJpNaA/1Y6YPJQxqhW7QpQkwhpy27dcvLn5iZJP7An3EMgkLFy6pXD9f+5A4RlAGGhKxwJuwIse2
kzduWhNsnDS0zYgfuPheTuW5xXLHgkUX3eJXCd0M3cEo/ljR/nu8+c/Gm3zTuDP+Zz3O27em/Y9/
OOP842/+OeN0EdHADiSX54r7WwaZf844rd8UoGlPKuELsnwsDr2/AQSlCWgCrZbrueh5PLXkav05
43R/Q5Kjlp05h6LlK/9fmXEq7+eTlSQhIoEINyNXCMLYz4l44STp8ZMwOja5251LrwCFXWAuOtvk
DSOnXaZZiNfFI6cpk58wW0HrQme7lD9ppDEFBkHn7nTr6ydCQ5DD25n/GpMZivEWuaF9rahoiepd
d62zxqXkauj+9K5LumCpNiRVmc8Q1VnJ1MHV77MeIhp6PNQgYQvCFxmiTTh2w9wLX+DKgFXrHR2s
fZWQhDi8imtlKINmepnbfgYGkDGq6A1z0y61ZLhUle21wByXWhNhOGXnbAT1o0MQM+OyGTaZhkex
B5HxEAdV0myiMRkOmj7qZh6mAqsi1e281LnJUvGypbV3jCSie9I1FOAgwBsE71IKba1ckQO51M4g
9amGo2HKn8IIUySj0ooSiT9GHy7OvohfwFVhM/aoyj05oY2hcDNqs9yE9CJkK8SyfUqZLdzjprUf
gmuZX15L/nLqFgedZ8wbvwv8lef2BG4ufYKiD8TExVtoN7Q4svQhlRquS99tI0dOq4Og6XCX7kN0
0R1K/b7dEBgks43LmnktnQGjEMEQktWn7vFaY8dceWpuIQe1B38o2hfZsI5bVfEstkZvaZxBE+2R
bgqHz8PpLrNnHVqaKHhvDjQg+ip2eq9BMZknf9Av8NslREGz+NDY004iolTMJy9C/jChMm2dTZaE
4WMjAdFTv5XZDXGp9W12bfP8LI/cVZWXCslCo7DZGsHi0uvfAx1YD1NdJlsnVONlmqtv7bWZLKZZ
bYM6Du9nOrrT6FMzJYo41qUPRVACAlfQVnYFT1lht5/CpsTL1LrpMbo2s8O1sR2vTa4Ow+bDHGqI
WEkvHmjhnfMiZHtKlYRP6RQd1WxTq3Xb57xlQ5XrGyaLH8Mou1ujsvC9D+Y3WeQoNwaYb3gP62O/
dOXZ0p+DexPNJteT985CoXuejYVo1AfZVtXISPD0L62+eW37A1UW2TorhuGDUW9pbkAXx+jDwB2h
gVhmBzOf8tZxCeeNi6Y3H/plypAu84aqZvWxHsWE/ZFxxOCI97nx303dsRq3fVYViL4xKcSVv5bs
q/Ueew/96jLkYDX/TNbgNxMTDgS9ZRTCOs48OJDlvDtQKRUGMY9ZaaSsQ8iZ88i/wNYA0+FtU8dn
RDLDcRQFiMoSbMaI4akZrJvmOpbxAoLUWYFW7/l1bKOXCY42m12yzHTgsrG7X+Y803Xis8x+OoZA
9FgRqenLYMgiIik/dAHwFHqiKTnTohIcEDdM3VdE7jg3jWMHW9fGhBTlgdjWVYtS2cUTIirlvUmd
T86qnc+F6RqHkDCKferRCGCmNnZOADHPN6dhV0giocmvST+NzOM3eVIPZy92d7IA+VIFk6BXwFS3
IrfXeSDUA5etwjKkBmCaXo8OIalzdrAp2uCSmnJPlk+87kUe3gw9gNF1l8zzM1WQc3SYv98wyzHI
B2eokZ07FvmbPGuIOoyhF29Hw853SXVW0/jJos3YlLqxjiO8ta3D/3XOHLO8EZlNNJMjDchzdVlb
Jrtox3aPpDnQHru6frDRwT+jcyMRSQFljxwMruuJPLJ9QE3irv0sTUHJQPSXozucWdGh3tM9Ox8P
wH3fRSOwGF/vLJYnC6LlNpvD6TvKJwwTvevuIieUGQ7HqmNd03wBLwEL0gU3t4rUEq6DUuCI4Dtb
lxRAlzjrPniwqN3QZv2hmOuBbykGwhk3xTAgNMrj9otV8LTZutJtLjIPiE4IxVPooiezDbAeMWvq
tS68ZJ+5kAnp0Q4EC+B/5AG7LaAGwSgz+gPwLfNoTqzgAz+NjmqQIwBTHH2qRUXAE9vbNRW66M4V
/nks3JjhXPYYLNQvtwnd/VD5WHIBoXzv8KgvTnas7XnF2TuIPtug4quPtQ+JDsErQAhztO+1KBfC
rbWAXuR0E1VhfBtDKlunJI+vpzn1N44VixOKwmA3dPUZd3K9xZvffGW0CPLm/3J3Zk1ta1kU/itU
3k1pHh5yqxpjB0OAC0k63H5xCaxryZpsDZalX9/fkS0uMoEMcnWo9qMxR+dsnWmvvfda0RJJX6iD
PuYq6TB1oXmTtLbvLeCbyVyHXN2eF6MiKO+jSCtGklyRgl9w3MAHP7HSbH5WlIDZlM1crUmlI/cK
ZsJIocS2WOs31ElE4xS++3m1uC2kbHBTeos/N9j1fLrRFVZjeEUNfD3eIKXC0ejPdbItYA0e6zUO
twbfQ4yvXeTDlIjNF4RjcbEL7Hq7Kvy5gTZZXhWXMLjPkxEBLDmFlXhDuW0uqRU8r1qZVNKI0tNa
GnlTe1l/ovrLHtyVGeQWpz4Yei0qOgSmH8RmfYIQRhhqIxMfrDqDPeWTDpXAAoLhmqtMBrf81Tog
qkYKG7i/siC6cyKhP+ZWjZCZVNSrayVRBh4abWn9VYVd4muUSJtzU4ihFUIWbVUNShTSInNjDKm5
Wp+TSFKy9YcxNsB9PKuEvJocsWNa6Jc4FXXmp9znFucA1IVKMMOkhLAu/PNI0Pyg2zMyTbscVxRS
z2DNGsBHjsBbVlmrcWmtZBKfhP5bFLO9BisVA0EMuhl70nz+b62awqq0EDVBywCmOztSKaFqNOak
mtz8kphKecLpRvpFQi7vRbosqPTNlXQJK5hSFaTHcHJJYz3jbDuxKs9aDDOTUtc6IHJXZXJMnZ6V
rQuqCQGtQi8YkKko5PGkKVWPJ5Kq2deyPjDyYZLXK38c6Ct7lFh2TTWBWkAAIHT3MoTu0U9eSIsb
y0tXt2jYk/BmG5U/THCZIRCZbsYoJBtndSPrtwo2ayT+qtTE201R/gtt2z6dZqgBRo0wYMjLv6sR
HhxD8fBBhf8EkZtGTRCMCv25wJ8OMyE2iKRxCb2un1HsthlEV1oFuZe4AVGUHxmKNdGEeCE0nKK8
RZqiu1HAyTKG/gmlwyzIJRhY8/yOzbuGXTQzLgjw3lPtA42CqUvQMHPfolo7EAWHNkHvUZkjgn2S
FroyzHNQhaFmeNF1vMoAfY3Ag4VG9y6Xegn3aYlsY1mY+sTwLLQcY9XSb7JG4THT4/CDBpw7snlp
5/BwAd+FsVbNECj0/mNz5/6CWJ95MdU89CN9RGQ/ZhJXs9PpXJ7bl5Gkq0OlMu9yocdVkZtD/hMa
XaFQ61I2ujRJAeFT+GsXxl/qUoPyGEQQPAMKIc4Sxb4MSSN0lcGU+MjKlx32U//cLwcoFaw0NI/W
QVYNgzQyp+MBtNkkTEoQ48xJuCGRO1dvQfXUkW6UEN+jyjsKNCjIQRiLkU6V7EVtrktoXOflbUYh
JSRuJWChTvFmgvC9A/HqZoUCWqKNZR8WqpOlvARvUdb5MBK8P+o0X6FW4RljZS2ZM4UE848E8+sr
a1UvPy1LGZ5c9vMFDFYyNDuxFN7NZQnpRrj67XMyOKbnBGykc/RKVxRy6qsLaTU3btQ6h/iZPLOJ
UiMXM6gFm4CpLUdVbMrc/REp0FGDG0ID4gVszVE8Lg0o/xfhIJ5sJCD3JWTbnxGfVscDKR3ly9Xi
2p9Te7YQkOtCgK9sEutTFiCLxaRAO0Nn6lIlu2PoCeA2EBBu1aC5gQB24U5jrTdgLxVPI3SiVlyg
gIK9BhVGJQaAWEDF6xxZRKPBj5cCSl43qHIpAObGqf2/8f93AxHZR4hyQg95U7hpdetmBbQEbfKP
+GsDZX6G++hXfvR6Q0c/VOFjGipQUgdQaPrUdPi1JkKHLhcz9/071Tq28YPh+ydgLz6gR2FCvvb2
zwOKdBArEOLAZDLxpCfGeWn4r49sa8fXf9Pp+kNSxLmwP5yB8dNaJQWhgx8a/F4LTwZvQ8xJEr2A
gJsPY3w6eNumkkkMnUyB5rN94P/eBs4sIp/ez/LUf8if2kCWJVGx0WsKKMhRiFIqMKPdp2sFSznW
LFMFO0ULQnx+10x40QqE8snY62UE1TwmZRBQTba3g9xfB7KNciHlFoiAbK30m5bDi0aQtSbbsJcV
NO0YnBp+oXaQQItPFwR4HgAjmovIjby18Ssk/m47tY0KPO7QP7Mb2kJ/RdNQKNi+5Gfjh65XhxsE
wYRmmjBLfsum+MossJ6BzD97JgAVy8wANr7dtsfiejoLLPuYKAoJ5yQ0vc21QJKasX01vz4XqFUl
VkN4UN2djHuHg6kfA8tLIA87K22P4jd0OBC/7W8FFStYBm+bMrPm050LxOmPH2t539haUClB6b0j
QLVNSIQY2nbBS5y2nbVgHFN9rIij4fHceFs7gqoZSu9bIvuiQto6AaXtKPesIMvy8WN+/FubBXDY
9N4LzGOtKbckeNZ8qLd8Ogu2q8AAkW6KCJpb9BubBQbB5553JG4HXIVt6iF2p+Pzc8FURVW+/fMX
xR/YNh99r6Hnh7PG6/Ld7FvO2Us/aL2O53/feRyT2ft3wq3o/FCEdbfP/scp+6NzADde0ZM/tl5S
85zdv+8G+PzRnWe1o2q/PPPd1KEIjRxY4WTuunnlRLhu/wqde6er3E0FC6fUPz15/67Tzyfv/zsN
Z4HTtiNsIksaFci920XON4m7DdtCWaF/w4ETZ10JBhA/Vn3flodO6P+dpHs1R1t/o3fbJMqnzixp
eykMvfXo+7ccx+5D7j8UHWcRAJj7bN/GT93QKZ3UbVsS3bYs9QDGbh3co+TvI1Ljiui+W+pFctgB
ZiGFm6k/687CrRfd1zIf3IT6tG7L3ArYdvu2fIbFfb9tp1mRqiHSiPo2PJk5XmcC7rzI3u2GoR8n
ftb2sOkyx+MB5t8knvnO3i4iav3aR30zC+fRK35t35skZfflwfnCQd/XFhfP9yZDVg6wXi7oWfEQ
VG0XGyOLS0j7xa+b4mNC0fkzM9tAQP3bvnT8uLN7CD6gA/T50kmr0IlnbQ+FORSUUQ/wCi+dLHMe
vCJz87wzp5Ho1A5hEv/B8+dOF94kZnyAFX7pcxbAVtaZ2Qoo1gEWzKWfkWyf+XAad4wu68JN6rtu
ROsJ5HptS837lCEQar/49emNWni+t4eQHGnZ/Vu+cu9TZ+/2BLcNKXW97XHlrp3uubWDvPoa+sot
j86caJl5fvdYp32hOnWI9s/dNHOrtq3mVZK+eKDGL92N/9A5xgCABC5+iJ7/RfFK29Ku3wJV6d00
Opne0dBJ0TTqnmbID4gc3sM84NQJ9tc+xfEHuJJce37X4hqzpX+vr4OQG0nXq1EAYA6wyV6n7nw/
gtQAZH0t/acLbybMFs6em0BWknKAft96ycw9mmTPzjbTEHQJfXv/6buq5S9r5P3QtWr7gOcTUYii
H+A++Bnru1nmdq4UO+ivr21eFPbraZIvueO1b07sKTuMrm93XyF07Nnhb2alb+k6+nb6q8O5g6Jq
d2kSXBCoXe/Gv5dS39MuX/3sIYEQp3Nzg0NEYG29+14lRH3nbUPNPDEob26/eOn68y2k6TFw/xx/
agPy3/q3LrgmfvEQuk76x38BAAD//w==</cx:binary>
              </cx:geoCache>
            </cx:geography>
          </cx:layoutPr>
          <cx:valueColors>
            <cx:minColor>
              <a:srgbClr val="B8E2C5"/>
            </cx:minColor>
            <cx:midColor>
              <a:srgbClr val="46B067"/>
            </cx:midColor>
            <cx:maxColor>
              <a:srgbClr val="235733"/>
            </cx:maxColor>
          </cx:valueColors>
          <cx:valueColorPositions count="3"/>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hyperlink" Target="#'Post Analysis Board'!A1"/><Relationship Id="rId19"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4.svg"/><Relationship Id="rId3" Type="http://schemas.microsoft.com/office/2014/relationships/chartEx" Target="../charts/chartEx3.xml"/><Relationship Id="rId7" Type="http://schemas.microsoft.com/office/2014/relationships/chartEx" Target="../charts/chartEx5.xml"/><Relationship Id="rId12" Type="http://schemas.openxmlformats.org/officeDocument/2006/relationships/image" Target="../media/image13.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hyperlink" Target="#'Recommendations Board'!A1"/><Relationship Id="rId5" Type="http://schemas.microsoft.com/office/2014/relationships/chartEx" Target="../charts/chartEx4.xml"/><Relationship Id="rId15" Type="http://schemas.openxmlformats.org/officeDocument/2006/relationships/hyperlink" Target="#'Post Analysis Board'!A1"/><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hyperlink" Target="#'Pre Analysis 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microsoft.com/office/2014/relationships/chartEx" Target="../charts/chartEx6.xml"/></Relationships>
</file>

<file path=xl/drawings/_rels/drawing10.xml.rels><?xml version="1.0" encoding="UTF-8" standalone="yes"?>
<Relationships xmlns="http://schemas.openxmlformats.org/package/2006/relationships"><Relationship Id="rId2" Type="http://schemas.microsoft.com/office/2014/relationships/chartEx" Target="../charts/chartEx7.xml"/><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microsoft.com/office/2014/relationships/chartEx" Target="../charts/chartEx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95250</xdr:rowOff>
    </xdr:from>
    <xdr:to>
      <xdr:col>28</xdr:col>
      <xdr:colOff>285750</xdr:colOff>
      <xdr:row>34</xdr:row>
      <xdr:rowOff>133350</xdr:rowOff>
    </xdr:to>
    <xdr:sp macro="" textlink="">
      <xdr:nvSpPr>
        <xdr:cNvPr id="2" name="Rectangle: Rounded Corners 1">
          <a:extLst>
            <a:ext uri="{FF2B5EF4-FFF2-40B4-BE49-F238E27FC236}">
              <a16:creationId xmlns:a16="http://schemas.microsoft.com/office/drawing/2014/main" id="{2842C7BF-E1E9-41FD-801C-1518B6B521A6}"/>
            </a:ext>
          </a:extLst>
        </xdr:cNvPr>
        <xdr:cNvSpPr/>
      </xdr:nvSpPr>
      <xdr:spPr>
        <a:xfrm>
          <a:off x="133350" y="95250"/>
          <a:ext cx="17221200" cy="6191250"/>
        </a:xfrm>
        <a:prstGeom prst="roundRect">
          <a:avLst>
            <a:gd name="adj" fmla="val 3365"/>
          </a:avLst>
        </a:prstGeom>
        <a:solidFill>
          <a:srgbClr val="E5E3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257175</xdr:colOff>
      <xdr:row>1</xdr:row>
      <xdr:rowOff>47625</xdr:rowOff>
    </xdr:from>
    <xdr:to>
      <xdr:col>3</xdr:col>
      <xdr:colOff>57150</xdr:colOff>
      <xdr:row>33</xdr:row>
      <xdr:rowOff>133350</xdr:rowOff>
    </xdr:to>
    <xdr:sp macro="" textlink="">
      <xdr:nvSpPr>
        <xdr:cNvPr id="3" name="Rectangle: Rounded Corners 2">
          <a:extLst>
            <a:ext uri="{FF2B5EF4-FFF2-40B4-BE49-F238E27FC236}">
              <a16:creationId xmlns:a16="http://schemas.microsoft.com/office/drawing/2014/main" id="{F27AC9F3-46F1-455F-A063-A1B08BAEFFDA}"/>
            </a:ext>
          </a:extLst>
        </xdr:cNvPr>
        <xdr:cNvSpPr/>
      </xdr:nvSpPr>
      <xdr:spPr>
        <a:xfrm>
          <a:off x="257175" y="228600"/>
          <a:ext cx="1628775" cy="5876925"/>
        </a:xfrm>
        <a:prstGeom prst="roundRect">
          <a:avLst>
            <a:gd name="adj" fmla="val 7490"/>
          </a:avLst>
        </a:prstGeom>
        <a:solidFill>
          <a:schemeClr val="bg1"/>
        </a:solidFill>
        <a:ln>
          <a:noFill/>
        </a:ln>
        <a:effectLst>
          <a:outerShdw blurRad="50800" dist="50800" dir="5400000" algn="ctr" rotWithShape="0">
            <a:srgbClr val="23573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133350</xdr:colOff>
      <xdr:row>3</xdr:row>
      <xdr:rowOff>76200</xdr:rowOff>
    </xdr:from>
    <xdr:to>
      <xdr:col>7</xdr:col>
      <xdr:colOff>66675</xdr:colOff>
      <xdr:row>10</xdr:row>
      <xdr:rowOff>19050</xdr:rowOff>
    </xdr:to>
    <xdr:sp macro="" textlink="">
      <xdr:nvSpPr>
        <xdr:cNvPr id="4" name="Rectangle: Rounded Corners 3">
          <a:extLst>
            <a:ext uri="{FF2B5EF4-FFF2-40B4-BE49-F238E27FC236}">
              <a16:creationId xmlns:a16="http://schemas.microsoft.com/office/drawing/2014/main" id="{F4458440-85EC-46DE-AAAF-D9723A945F86}"/>
            </a:ext>
          </a:extLst>
        </xdr:cNvPr>
        <xdr:cNvSpPr/>
      </xdr:nvSpPr>
      <xdr:spPr>
        <a:xfrm>
          <a:off x="1962150" y="619125"/>
          <a:ext cx="2371725" cy="1209675"/>
        </a:xfrm>
        <a:prstGeom prst="roundRect">
          <a:avLst>
            <a:gd name="adj" fmla="val 7490"/>
          </a:avLst>
        </a:prstGeom>
        <a:solidFill>
          <a:srgbClr val="00FF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190500</xdr:colOff>
      <xdr:row>3</xdr:row>
      <xdr:rowOff>85725</xdr:rowOff>
    </xdr:from>
    <xdr:to>
      <xdr:col>11</xdr:col>
      <xdr:colOff>123825</xdr:colOff>
      <xdr:row>10</xdr:row>
      <xdr:rowOff>28575</xdr:rowOff>
    </xdr:to>
    <xdr:sp macro="" textlink="">
      <xdr:nvSpPr>
        <xdr:cNvPr id="5" name="Rectangle: Rounded Corners 4">
          <a:extLst>
            <a:ext uri="{FF2B5EF4-FFF2-40B4-BE49-F238E27FC236}">
              <a16:creationId xmlns:a16="http://schemas.microsoft.com/office/drawing/2014/main" id="{B2C4FDFD-8541-4D47-AD52-AE9C5CE2351D}"/>
            </a:ext>
          </a:extLst>
        </xdr:cNvPr>
        <xdr:cNvSpPr/>
      </xdr:nvSpPr>
      <xdr:spPr>
        <a:xfrm>
          <a:off x="4457700" y="628650"/>
          <a:ext cx="2371725" cy="1209675"/>
        </a:xfrm>
        <a:prstGeom prst="roundRect">
          <a:avLst>
            <a:gd name="adj" fmla="val 7490"/>
          </a:avLst>
        </a:prstGeom>
        <a:solidFill>
          <a:srgbClr val="FF99CC">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247650</xdr:colOff>
      <xdr:row>3</xdr:row>
      <xdr:rowOff>95250</xdr:rowOff>
    </xdr:from>
    <xdr:to>
      <xdr:col>15</xdr:col>
      <xdr:colOff>180975</xdr:colOff>
      <xdr:row>10</xdr:row>
      <xdr:rowOff>38100</xdr:rowOff>
    </xdr:to>
    <xdr:sp macro="" textlink="">
      <xdr:nvSpPr>
        <xdr:cNvPr id="6" name="Rectangle: Rounded Corners 5">
          <a:extLst>
            <a:ext uri="{FF2B5EF4-FFF2-40B4-BE49-F238E27FC236}">
              <a16:creationId xmlns:a16="http://schemas.microsoft.com/office/drawing/2014/main" id="{41BA86B6-162C-44BA-ABEF-56F05D2E1769}"/>
            </a:ext>
          </a:extLst>
        </xdr:cNvPr>
        <xdr:cNvSpPr/>
      </xdr:nvSpPr>
      <xdr:spPr>
        <a:xfrm>
          <a:off x="6953250" y="638175"/>
          <a:ext cx="2371725" cy="1209675"/>
        </a:xfrm>
        <a:prstGeom prst="roundRect">
          <a:avLst>
            <a:gd name="adj" fmla="val 7490"/>
          </a:avLst>
        </a:prstGeom>
        <a:solidFill>
          <a:srgbClr val="FF3300">
            <a:alpha val="1882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304800</xdr:colOff>
      <xdr:row>3</xdr:row>
      <xdr:rowOff>114300</xdr:rowOff>
    </xdr:from>
    <xdr:to>
      <xdr:col>19</xdr:col>
      <xdr:colOff>238125</xdr:colOff>
      <xdr:row>10</xdr:row>
      <xdr:rowOff>57150</xdr:rowOff>
    </xdr:to>
    <xdr:sp macro="" textlink="">
      <xdr:nvSpPr>
        <xdr:cNvPr id="7" name="Rectangle: Rounded Corners 6">
          <a:extLst>
            <a:ext uri="{FF2B5EF4-FFF2-40B4-BE49-F238E27FC236}">
              <a16:creationId xmlns:a16="http://schemas.microsoft.com/office/drawing/2014/main" id="{47D63421-5D78-4B3C-AD57-B05A83EC821A}"/>
            </a:ext>
          </a:extLst>
        </xdr:cNvPr>
        <xdr:cNvSpPr/>
      </xdr:nvSpPr>
      <xdr:spPr>
        <a:xfrm>
          <a:off x="9448800" y="657225"/>
          <a:ext cx="2371725" cy="1209675"/>
        </a:xfrm>
        <a:prstGeom prst="roundRect">
          <a:avLst>
            <a:gd name="adj" fmla="val 7490"/>
          </a:avLst>
        </a:prstGeom>
        <a:solidFill>
          <a:srgbClr val="CC0066">
            <a:alpha val="1882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361950</xdr:colOff>
      <xdr:row>3</xdr:row>
      <xdr:rowOff>104775</xdr:rowOff>
    </xdr:from>
    <xdr:to>
      <xdr:col>23</xdr:col>
      <xdr:colOff>295275</xdr:colOff>
      <xdr:row>10</xdr:row>
      <xdr:rowOff>47625</xdr:rowOff>
    </xdr:to>
    <xdr:sp macro="" textlink="">
      <xdr:nvSpPr>
        <xdr:cNvPr id="8" name="Rectangle: Rounded Corners 7">
          <a:extLst>
            <a:ext uri="{FF2B5EF4-FFF2-40B4-BE49-F238E27FC236}">
              <a16:creationId xmlns:a16="http://schemas.microsoft.com/office/drawing/2014/main" id="{5A317EF2-B19D-492C-B1B9-31BF726732C0}"/>
            </a:ext>
          </a:extLst>
        </xdr:cNvPr>
        <xdr:cNvSpPr/>
      </xdr:nvSpPr>
      <xdr:spPr>
        <a:xfrm>
          <a:off x="11944350" y="647700"/>
          <a:ext cx="2371725" cy="1209675"/>
        </a:xfrm>
        <a:prstGeom prst="roundRect">
          <a:avLst>
            <a:gd name="adj" fmla="val 7490"/>
          </a:avLst>
        </a:prstGeom>
        <a:solidFill>
          <a:srgbClr val="0000FF">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23</xdr:col>
      <xdr:colOff>457201</xdr:colOff>
      <xdr:row>3</xdr:row>
      <xdr:rowOff>114301</xdr:rowOff>
    </xdr:from>
    <xdr:to>
      <xdr:col>28</xdr:col>
      <xdr:colOff>180975</xdr:colOff>
      <xdr:row>10</xdr:row>
      <xdr:rowOff>0</xdr:rowOff>
    </xdr:to>
    <xdr:sp macro="" textlink="">
      <xdr:nvSpPr>
        <xdr:cNvPr id="9" name="Rectangle: Rounded Corners 8">
          <a:extLst>
            <a:ext uri="{FF2B5EF4-FFF2-40B4-BE49-F238E27FC236}">
              <a16:creationId xmlns:a16="http://schemas.microsoft.com/office/drawing/2014/main" id="{3B24DE70-43C3-47C8-B172-0E76C090FB06}"/>
            </a:ext>
          </a:extLst>
        </xdr:cNvPr>
        <xdr:cNvSpPr/>
      </xdr:nvSpPr>
      <xdr:spPr>
        <a:xfrm>
          <a:off x="14478001" y="657226"/>
          <a:ext cx="2771774" cy="1152524"/>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161925</xdr:colOff>
      <xdr:row>22</xdr:row>
      <xdr:rowOff>133350</xdr:rowOff>
    </xdr:from>
    <xdr:to>
      <xdr:col>9</xdr:col>
      <xdr:colOff>76200</xdr:colOff>
      <xdr:row>33</xdr:row>
      <xdr:rowOff>123825</xdr:rowOff>
    </xdr:to>
    <xdr:sp macro="" textlink="">
      <xdr:nvSpPr>
        <xdr:cNvPr id="14" name="Rectangle: Rounded Corners 13">
          <a:extLst>
            <a:ext uri="{FF2B5EF4-FFF2-40B4-BE49-F238E27FC236}">
              <a16:creationId xmlns:a16="http://schemas.microsoft.com/office/drawing/2014/main" id="{1B0105AD-0382-4255-A47F-0ED0EEC84DFF}"/>
            </a:ext>
          </a:extLst>
        </xdr:cNvPr>
        <xdr:cNvSpPr/>
      </xdr:nvSpPr>
      <xdr:spPr>
        <a:xfrm>
          <a:off x="1990725" y="4114800"/>
          <a:ext cx="3571875" cy="1981200"/>
        </a:xfrm>
        <a:prstGeom prst="roundRect">
          <a:avLst>
            <a:gd name="adj" fmla="val 7490"/>
          </a:avLst>
        </a:prstGeom>
        <a:solidFill>
          <a:schemeClr val="bg1"/>
        </a:solidFill>
        <a:ln>
          <a:noFill/>
        </a:ln>
        <a:effectLst>
          <a:outerShdw blurRad="50800" dist="50800" dir="5400000" algn="ctr" rotWithShape="0">
            <a:srgbClr val="235733">
              <a:alpha val="6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342900</xdr:colOff>
      <xdr:row>22</xdr:row>
      <xdr:rowOff>171450</xdr:rowOff>
    </xdr:from>
    <xdr:to>
      <xdr:col>28</xdr:col>
      <xdr:colOff>123825</xdr:colOff>
      <xdr:row>33</xdr:row>
      <xdr:rowOff>161925</xdr:rowOff>
    </xdr:to>
    <xdr:sp macro="" textlink="">
      <xdr:nvSpPr>
        <xdr:cNvPr id="16" name="Rectangle: Rounded Corners 15">
          <a:extLst>
            <a:ext uri="{FF2B5EF4-FFF2-40B4-BE49-F238E27FC236}">
              <a16:creationId xmlns:a16="http://schemas.microsoft.com/office/drawing/2014/main" id="{49843ADE-40E0-41DA-AAC6-2D4DD2B68485}"/>
            </a:ext>
          </a:extLst>
        </xdr:cNvPr>
        <xdr:cNvSpPr/>
      </xdr:nvSpPr>
      <xdr:spPr>
        <a:xfrm>
          <a:off x="13144500" y="4152900"/>
          <a:ext cx="4048125" cy="1981200"/>
        </a:xfrm>
        <a:prstGeom prst="roundRect">
          <a:avLst>
            <a:gd name="adj" fmla="val 7490"/>
          </a:avLst>
        </a:prstGeom>
        <a:solidFill>
          <a:schemeClr val="bg1"/>
        </a:solidFill>
        <a:ln>
          <a:noFill/>
        </a:ln>
        <a:effectLst>
          <a:outerShdw blurRad="50800" dist="50800" dir="5400000" algn="ctr" rotWithShape="0">
            <a:srgbClr val="235733">
              <a:alpha val="6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142875</xdr:colOff>
      <xdr:row>0</xdr:row>
      <xdr:rowOff>171450</xdr:rowOff>
    </xdr:from>
    <xdr:to>
      <xdr:col>21</xdr:col>
      <xdr:colOff>85725</xdr:colOff>
      <xdr:row>2</xdr:row>
      <xdr:rowOff>152400</xdr:rowOff>
    </xdr:to>
    <xdr:sp macro="" textlink="">
      <xdr:nvSpPr>
        <xdr:cNvPr id="18" name="TextBox 17">
          <a:extLst>
            <a:ext uri="{FF2B5EF4-FFF2-40B4-BE49-F238E27FC236}">
              <a16:creationId xmlns:a16="http://schemas.microsoft.com/office/drawing/2014/main" id="{BE4FEFCF-76FA-4014-BBF3-60E12C647904}"/>
            </a:ext>
          </a:extLst>
        </xdr:cNvPr>
        <xdr:cNvSpPr txBox="1"/>
      </xdr:nvSpPr>
      <xdr:spPr>
        <a:xfrm>
          <a:off x="1971675" y="171450"/>
          <a:ext cx="109156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rgbClr val="235733"/>
              </a:solidFill>
              <a:latin typeface="Century Gothic" panose="020B0502020202020204" pitchFamily="34" charset="0"/>
            </a:rPr>
            <a:t>De Angels Super Mart Analysis for year 2014</a:t>
          </a:r>
          <a:endParaRPr lang="en-NG" sz="2400" b="1">
            <a:solidFill>
              <a:srgbClr val="235733"/>
            </a:solidFill>
            <a:latin typeface="Century Gothic" panose="020B0502020202020204" pitchFamily="34" charset="0"/>
          </a:endParaRPr>
        </a:p>
      </xdr:txBody>
    </xdr:sp>
    <xdr:clientData/>
  </xdr:twoCellAnchor>
  <xdr:twoCellAnchor>
    <xdr:from>
      <xdr:col>3</xdr:col>
      <xdr:colOff>161925</xdr:colOff>
      <xdr:row>10</xdr:row>
      <xdr:rowOff>85725</xdr:rowOff>
    </xdr:from>
    <xdr:to>
      <xdr:col>9</xdr:col>
      <xdr:colOff>85724</xdr:colOff>
      <xdr:row>22</xdr:row>
      <xdr:rowOff>28575</xdr:rowOff>
    </xdr:to>
    <xdr:graphicFrame macro="">
      <xdr:nvGraphicFramePr>
        <xdr:cNvPr id="19" name="Chart 18">
          <a:extLst>
            <a:ext uri="{FF2B5EF4-FFF2-40B4-BE49-F238E27FC236}">
              <a16:creationId xmlns:a16="http://schemas.microsoft.com/office/drawing/2014/main" id="{D813CCDF-EFF5-4D0A-98E9-B43A3C9E2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209549</xdr:colOff>
      <xdr:row>10</xdr:row>
      <xdr:rowOff>85727</xdr:rowOff>
    </xdr:from>
    <xdr:to>
      <xdr:col>15</xdr:col>
      <xdr:colOff>142874</xdr:colOff>
      <xdr:row>22</xdr:row>
      <xdr:rowOff>57151</xdr:rowOff>
    </xdr:to>
    <xdr:graphicFrame macro="">
      <xdr:nvGraphicFramePr>
        <xdr:cNvPr id="20" name="Chart 19">
          <a:extLst>
            <a:ext uri="{FF2B5EF4-FFF2-40B4-BE49-F238E27FC236}">
              <a16:creationId xmlns:a16="http://schemas.microsoft.com/office/drawing/2014/main" id="{F384258F-7CE0-4312-945B-CAF5922AF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247650</xdr:colOff>
      <xdr:row>10</xdr:row>
      <xdr:rowOff>114300</xdr:rowOff>
    </xdr:from>
    <xdr:to>
      <xdr:col>28</xdr:col>
      <xdr:colOff>171450</xdr:colOff>
      <xdr:row>22</xdr:row>
      <xdr:rowOff>28576</xdr:rowOff>
    </xdr:to>
    <xdr:graphicFrame macro="">
      <xdr:nvGraphicFramePr>
        <xdr:cNvPr id="21" name="Chart 20">
          <a:extLst>
            <a:ext uri="{FF2B5EF4-FFF2-40B4-BE49-F238E27FC236}">
              <a16:creationId xmlns:a16="http://schemas.microsoft.com/office/drawing/2014/main" id="{7E921B14-61C8-40D0-B450-75086BBF9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161926</xdr:colOff>
      <xdr:row>22</xdr:row>
      <xdr:rowOff>161924</xdr:rowOff>
    </xdr:from>
    <xdr:to>
      <xdr:col>15</xdr:col>
      <xdr:colOff>142875</xdr:colOff>
      <xdr:row>33</xdr:row>
      <xdr:rowOff>142875</xdr:rowOff>
    </xdr:to>
    <xdr:graphicFrame macro="">
      <xdr:nvGraphicFramePr>
        <xdr:cNvPr id="22" name="Chart 21">
          <a:extLst>
            <a:ext uri="{FF2B5EF4-FFF2-40B4-BE49-F238E27FC236}">
              <a16:creationId xmlns:a16="http://schemas.microsoft.com/office/drawing/2014/main" id="{A74BBD6E-AF28-404F-B494-53550798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238125</xdr:colOff>
      <xdr:row>22</xdr:row>
      <xdr:rowOff>148590</xdr:rowOff>
    </xdr:from>
    <xdr:to>
      <xdr:col>21</xdr:col>
      <xdr:colOff>257175</xdr:colOff>
      <xdr:row>33</xdr:row>
      <xdr:rowOff>142875</xdr:rowOff>
    </xdr:to>
    <xdr:graphicFrame macro="">
      <xdr:nvGraphicFramePr>
        <xdr:cNvPr id="23" name="Chart 22">
          <a:extLst>
            <a:ext uri="{FF2B5EF4-FFF2-40B4-BE49-F238E27FC236}">
              <a16:creationId xmlns:a16="http://schemas.microsoft.com/office/drawing/2014/main" id="{3F511742-8A3D-4A79-85FF-4BD506226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419100</xdr:colOff>
      <xdr:row>24</xdr:row>
      <xdr:rowOff>38100</xdr:rowOff>
    </xdr:from>
    <xdr:to>
      <xdr:col>27</xdr:col>
      <xdr:colOff>247650</xdr:colOff>
      <xdr:row>33</xdr:row>
      <xdr:rowOff>158115</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46B7A4FD-D39C-49FD-B219-7BE77F0759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20700" y="4427220"/>
              <a:ext cx="3486150" cy="176593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257175</xdr:colOff>
      <xdr:row>23</xdr:row>
      <xdr:rowOff>66675</xdr:rowOff>
    </xdr:from>
    <xdr:to>
      <xdr:col>8</xdr:col>
      <xdr:colOff>561975</xdr:colOff>
      <xdr:row>33</xdr:row>
      <xdr:rowOff>48442</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2067F761-119F-46DC-8983-17E2E4ABB0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85975" y="4229100"/>
              <a:ext cx="3352800" cy="179151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285749</xdr:colOff>
      <xdr:row>22</xdr:row>
      <xdr:rowOff>142875</xdr:rowOff>
    </xdr:from>
    <xdr:to>
      <xdr:col>7</xdr:col>
      <xdr:colOff>266700</xdr:colOff>
      <xdr:row>24</xdr:row>
      <xdr:rowOff>38100</xdr:rowOff>
    </xdr:to>
    <xdr:sp macro="" textlink="">
      <xdr:nvSpPr>
        <xdr:cNvPr id="29" name="TextBox 28">
          <a:extLst>
            <a:ext uri="{FF2B5EF4-FFF2-40B4-BE49-F238E27FC236}">
              <a16:creationId xmlns:a16="http://schemas.microsoft.com/office/drawing/2014/main" id="{24FF1A7A-A8DA-4DA2-DAC1-A5B93C7FC945}"/>
            </a:ext>
          </a:extLst>
        </xdr:cNvPr>
        <xdr:cNvSpPr txBox="1"/>
      </xdr:nvSpPr>
      <xdr:spPr>
        <a:xfrm>
          <a:off x="2114549" y="4124325"/>
          <a:ext cx="2419351"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i="0" baseline="0">
              <a:solidFill>
                <a:srgbClr val="235733"/>
              </a:solidFill>
              <a:effectLst/>
              <a:latin typeface="Century Gothic" panose="020B0502020202020204" pitchFamily="34" charset="0"/>
              <a:ea typeface="+mn-ea"/>
              <a:cs typeface="+mn-cs"/>
            </a:rPr>
            <a:t>States Performance</a:t>
          </a:r>
          <a:endParaRPr lang="en-NG" sz="1200" b="1">
            <a:solidFill>
              <a:srgbClr val="235733"/>
            </a:solidFill>
            <a:latin typeface="Century Gothic" panose="020B0502020202020204" pitchFamily="34" charset="0"/>
          </a:endParaRPr>
        </a:p>
      </xdr:txBody>
    </xdr:sp>
    <xdr:clientData/>
  </xdr:twoCellAnchor>
  <xdr:twoCellAnchor>
    <xdr:from>
      <xdr:col>21</xdr:col>
      <xdr:colOff>428625</xdr:colOff>
      <xdr:row>23</xdr:row>
      <xdr:rowOff>19050</xdr:rowOff>
    </xdr:from>
    <xdr:to>
      <xdr:col>26</xdr:col>
      <xdr:colOff>304801</xdr:colOff>
      <xdr:row>24</xdr:row>
      <xdr:rowOff>76200</xdr:rowOff>
    </xdr:to>
    <xdr:sp macro="" textlink="">
      <xdr:nvSpPr>
        <xdr:cNvPr id="30" name="TextBox 29">
          <a:extLst>
            <a:ext uri="{FF2B5EF4-FFF2-40B4-BE49-F238E27FC236}">
              <a16:creationId xmlns:a16="http://schemas.microsoft.com/office/drawing/2014/main" id="{090BC217-94FD-0E04-D1FC-34AFAD52A493}"/>
            </a:ext>
          </a:extLst>
        </xdr:cNvPr>
        <xdr:cNvSpPr txBox="1"/>
      </xdr:nvSpPr>
      <xdr:spPr>
        <a:xfrm>
          <a:off x="13230225" y="4181475"/>
          <a:ext cx="2924176"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i="0" baseline="0">
              <a:solidFill>
                <a:srgbClr val="235733"/>
              </a:solidFill>
              <a:effectLst/>
              <a:latin typeface="Century Gothic" panose="020B0502020202020204" pitchFamily="34" charset="0"/>
              <a:ea typeface="+mn-ea"/>
              <a:cs typeface="+mn-cs"/>
            </a:rPr>
            <a:t>Products Performance</a:t>
          </a:r>
          <a:endParaRPr lang="en-NG" sz="1200">
            <a:solidFill>
              <a:srgbClr val="235733"/>
            </a:solidFill>
            <a:effectLst/>
            <a:latin typeface="Century Gothic" panose="020B0502020202020204" pitchFamily="34" charset="0"/>
          </a:endParaRPr>
        </a:p>
      </xdr:txBody>
    </xdr:sp>
    <xdr:clientData/>
  </xdr:twoCellAnchor>
  <xdr:twoCellAnchor>
    <xdr:from>
      <xdr:col>3</xdr:col>
      <xdr:colOff>209550</xdr:colOff>
      <xdr:row>3</xdr:row>
      <xdr:rowOff>76201</xdr:rowOff>
    </xdr:from>
    <xdr:to>
      <xdr:col>7</xdr:col>
      <xdr:colOff>142875</xdr:colOff>
      <xdr:row>9</xdr:row>
      <xdr:rowOff>152401</xdr:rowOff>
    </xdr:to>
    <xdr:sp macro="" textlink="">
      <xdr:nvSpPr>
        <xdr:cNvPr id="32" name="Rectangle: Rounded Corners 31">
          <a:extLst>
            <a:ext uri="{FF2B5EF4-FFF2-40B4-BE49-F238E27FC236}">
              <a16:creationId xmlns:a16="http://schemas.microsoft.com/office/drawing/2014/main" id="{38BA4681-C03A-6135-064E-BEB5387296FA}"/>
            </a:ext>
          </a:extLst>
        </xdr:cNvPr>
        <xdr:cNvSpPr/>
      </xdr:nvSpPr>
      <xdr:spPr>
        <a:xfrm>
          <a:off x="2038350" y="619126"/>
          <a:ext cx="2371725" cy="1162050"/>
        </a:xfrm>
        <a:prstGeom prst="roundRect">
          <a:avLst>
            <a:gd name="adj" fmla="val 7490"/>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100"/>
        </a:p>
      </xdr:txBody>
    </xdr:sp>
    <xdr:clientData/>
  </xdr:twoCellAnchor>
  <xdr:twoCellAnchor>
    <xdr:from>
      <xdr:col>7</xdr:col>
      <xdr:colOff>257175</xdr:colOff>
      <xdr:row>3</xdr:row>
      <xdr:rowOff>66676</xdr:rowOff>
    </xdr:from>
    <xdr:to>
      <xdr:col>11</xdr:col>
      <xdr:colOff>190500</xdr:colOff>
      <xdr:row>9</xdr:row>
      <xdr:rowOff>142876</xdr:rowOff>
    </xdr:to>
    <xdr:sp macro="" textlink="">
      <xdr:nvSpPr>
        <xdr:cNvPr id="33" name="Rectangle: Rounded Corners 32">
          <a:extLst>
            <a:ext uri="{FF2B5EF4-FFF2-40B4-BE49-F238E27FC236}">
              <a16:creationId xmlns:a16="http://schemas.microsoft.com/office/drawing/2014/main" id="{97D287C4-A270-1185-D629-9AB0AC3527B5}"/>
            </a:ext>
          </a:extLst>
        </xdr:cNvPr>
        <xdr:cNvSpPr/>
      </xdr:nvSpPr>
      <xdr:spPr>
        <a:xfrm>
          <a:off x="4524375" y="609601"/>
          <a:ext cx="2371725" cy="1162050"/>
        </a:xfrm>
        <a:prstGeom prst="roundRect">
          <a:avLst>
            <a:gd name="adj" fmla="val 7490"/>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304800</xdr:colOff>
      <xdr:row>3</xdr:row>
      <xdr:rowOff>66676</xdr:rowOff>
    </xdr:from>
    <xdr:to>
      <xdr:col>15</xdr:col>
      <xdr:colOff>238125</xdr:colOff>
      <xdr:row>9</xdr:row>
      <xdr:rowOff>142876</xdr:rowOff>
    </xdr:to>
    <xdr:sp macro="" textlink="">
      <xdr:nvSpPr>
        <xdr:cNvPr id="34" name="Rectangle: Rounded Corners 33">
          <a:extLst>
            <a:ext uri="{FF2B5EF4-FFF2-40B4-BE49-F238E27FC236}">
              <a16:creationId xmlns:a16="http://schemas.microsoft.com/office/drawing/2014/main" id="{3DC58067-AB20-BCB9-FED7-387A6E8A22DC}"/>
            </a:ext>
          </a:extLst>
        </xdr:cNvPr>
        <xdr:cNvSpPr/>
      </xdr:nvSpPr>
      <xdr:spPr>
        <a:xfrm>
          <a:off x="7010400" y="609601"/>
          <a:ext cx="2371725" cy="1162050"/>
        </a:xfrm>
        <a:prstGeom prst="roundRect">
          <a:avLst>
            <a:gd name="adj" fmla="val 7490"/>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371475</xdr:colOff>
      <xdr:row>3</xdr:row>
      <xdr:rowOff>76201</xdr:rowOff>
    </xdr:from>
    <xdr:to>
      <xdr:col>19</xdr:col>
      <xdr:colOff>304800</xdr:colOff>
      <xdr:row>9</xdr:row>
      <xdr:rowOff>152401</xdr:rowOff>
    </xdr:to>
    <xdr:sp macro="" textlink="">
      <xdr:nvSpPr>
        <xdr:cNvPr id="35" name="Rectangle: Rounded Corners 34">
          <a:extLst>
            <a:ext uri="{FF2B5EF4-FFF2-40B4-BE49-F238E27FC236}">
              <a16:creationId xmlns:a16="http://schemas.microsoft.com/office/drawing/2014/main" id="{C3D5CC09-AA3F-A456-6800-B128884382C6}"/>
            </a:ext>
          </a:extLst>
        </xdr:cNvPr>
        <xdr:cNvSpPr/>
      </xdr:nvSpPr>
      <xdr:spPr>
        <a:xfrm>
          <a:off x="9515475" y="619126"/>
          <a:ext cx="2371725" cy="1162050"/>
        </a:xfrm>
        <a:prstGeom prst="roundRect">
          <a:avLst>
            <a:gd name="adj" fmla="val 7490"/>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438150</xdr:colOff>
      <xdr:row>3</xdr:row>
      <xdr:rowOff>66676</xdr:rowOff>
    </xdr:from>
    <xdr:to>
      <xdr:col>23</xdr:col>
      <xdr:colOff>371475</xdr:colOff>
      <xdr:row>9</xdr:row>
      <xdr:rowOff>142876</xdr:rowOff>
    </xdr:to>
    <xdr:sp macro="" textlink="">
      <xdr:nvSpPr>
        <xdr:cNvPr id="36" name="Rectangle: Rounded Corners 35">
          <a:extLst>
            <a:ext uri="{FF2B5EF4-FFF2-40B4-BE49-F238E27FC236}">
              <a16:creationId xmlns:a16="http://schemas.microsoft.com/office/drawing/2014/main" id="{AD3D6BA5-20D0-4804-D587-67B410362EE1}"/>
            </a:ext>
          </a:extLst>
        </xdr:cNvPr>
        <xdr:cNvSpPr/>
      </xdr:nvSpPr>
      <xdr:spPr>
        <a:xfrm>
          <a:off x="12020550" y="609601"/>
          <a:ext cx="2371725" cy="1162050"/>
        </a:xfrm>
        <a:prstGeom prst="roundRect">
          <a:avLst>
            <a:gd name="adj" fmla="val 7490"/>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409575</xdr:colOff>
      <xdr:row>3</xdr:row>
      <xdr:rowOff>133351</xdr:rowOff>
    </xdr:from>
    <xdr:to>
      <xdr:col>7</xdr:col>
      <xdr:colOff>57150</xdr:colOff>
      <xdr:row>5</xdr:row>
      <xdr:rowOff>133350</xdr:rowOff>
    </xdr:to>
    <xdr:sp macro="" textlink="">
      <xdr:nvSpPr>
        <xdr:cNvPr id="38" name="TextBox 37">
          <a:extLst>
            <a:ext uri="{FF2B5EF4-FFF2-40B4-BE49-F238E27FC236}">
              <a16:creationId xmlns:a16="http://schemas.microsoft.com/office/drawing/2014/main" id="{74D3CB78-EF22-4BC1-4E5F-224E187E8054}"/>
            </a:ext>
          </a:extLst>
        </xdr:cNvPr>
        <xdr:cNvSpPr txBox="1"/>
      </xdr:nvSpPr>
      <xdr:spPr>
        <a:xfrm>
          <a:off x="2238375" y="676276"/>
          <a:ext cx="208597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Top</a:t>
          </a:r>
          <a:r>
            <a:rPr lang="en-US" sz="1400" b="1" baseline="0">
              <a:solidFill>
                <a:schemeClr val="bg1"/>
              </a:solidFill>
              <a:latin typeface="Century Gothic" panose="020B0502020202020204" pitchFamily="34" charset="0"/>
            </a:rPr>
            <a:t> Performing Month</a:t>
          </a:r>
          <a:endParaRPr lang="en-NG" sz="1400" b="1">
            <a:solidFill>
              <a:schemeClr val="bg1"/>
            </a:solidFill>
            <a:latin typeface="Century Gothic" panose="020B0502020202020204" pitchFamily="34" charset="0"/>
          </a:endParaRPr>
        </a:p>
      </xdr:txBody>
    </xdr:sp>
    <xdr:clientData/>
  </xdr:twoCellAnchor>
  <xdr:twoCellAnchor>
    <xdr:from>
      <xdr:col>4</xdr:col>
      <xdr:colOff>352425</xdr:colOff>
      <xdr:row>5</xdr:row>
      <xdr:rowOff>152400</xdr:rowOff>
    </xdr:from>
    <xdr:to>
      <xdr:col>6</xdr:col>
      <xdr:colOff>76200</xdr:colOff>
      <xdr:row>7</xdr:row>
      <xdr:rowOff>114300</xdr:rowOff>
    </xdr:to>
    <xdr:sp macro="" textlink="">
      <xdr:nvSpPr>
        <xdr:cNvPr id="39" name="TextBox 38">
          <a:extLst>
            <a:ext uri="{FF2B5EF4-FFF2-40B4-BE49-F238E27FC236}">
              <a16:creationId xmlns:a16="http://schemas.microsoft.com/office/drawing/2014/main" id="{46850AF2-FDB0-22E6-F439-1E9BE352E280}"/>
            </a:ext>
          </a:extLst>
        </xdr:cNvPr>
        <xdr:cNvSpPr txBox="1"/>
      </xdr:nvSpPr>
      <xdr:spPr>
        <a:xfrm>
          <a:off x="2790825" y="1057275"/>
          <a:ext cx="9429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entury Gothic" panose="020B0502020202020204" pitchFamily="34" charset="0"/>
            </a:rPr>
            <a:t>Dec.</a:t>
          </a:r>
          <a:endParaRPr lang="en-NG" sz="2400" b="1">
            <a:solidFill>
              <a:schemeClr val="bg1"/>
            </a:solidFill>
            <a:latin typeface="Century Gothic" panose="020B0502020202020204" pitchFamily="34" charset="0"/>
          </a:endParaRPr>
        </a:p>
      </xdr:txBody>
    </xdr:sp>
    <xdr:clientData/>
  </xdr:twoCellAnchor>
  <xdr:twoCellAnchor>
    <xdr:from>
      <xdr:col>4</xdr:col>
      <xdr:colOff>276225</xdr:colOff>
      <xdr:row>7</xdr:row>
      <xdr:rowOff>133350</xdr:rowOff>
    </xdr:from>
    <xdr:to>
      <xdr:col>6</xdr:col>
      <xdr:colOff>95251</xdr:colOff>
      <xdr:row>9</xdr:row>
      <xdr:rowOff>133350</xdr:rowOff>
    </xdr:to>
    <xdr:sp macro="" textlink="">
      <xdr:nvSpPr>
        <xdr:cNvPr id="40" name="TextBox 39">
          <a:extLst>
            <a:ext uri="{FF2B5EF4-FFF2-40B4-BE49-F238E27FC236}">
              <a16:creationId xmlns:a16="http://schemas.microsoft.com/office/drawing/2014/main" id="{F8322E61-F277-E248-8586-76247CF626A8}"/>
            </a:ext>
          </a:extLst>
        </xdr:cNvPr>
        <xdr:cNvSpPr txBox="1"/>
      </xdr:nvSpPr>
      <xdr:spPr>
        <a:xfrm>
          <a:off x="2714625" y="1400175"/>
          <a:ext cx="1038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$66.7k</a:t>
          </a:r>
          <a:endParaRPr lang="en-NG" sz="1400" b="1">
            <a:solidFill>
              <a:schemeClr val="bg1"/>
            </a:solidFill>
            <a:latin typeface="Century Gothic" panose="020B0502020202020204" pitchFamily="34" charset="0"/>
          </a:endParaRPr>
        </a:p>
      </xdr:txBody>
    </xdr:sp>
    <xdr:clientData/>
  </xdr:twoCellAnchor>
  <xdr:twoCellAnchor>
    <xdr:from>
      <xdr:col>7</xdr:col>
      <xdr:colOff>409575</xdr:colOff>
      <xdr:row>3</xdr:row>
      <xdr:rowOff>85726</xdr:rowOff>
    </xdr:from>
    <xdr:to>
      <xdr:col>11</xdr:col>
      <xdr:colOff>57150</xdr:colOff>
      <xdr:row>5</xdr:row>
      <xdr:rowOff>85725</xdr:rowOff>
    </xdr:to>
    <xdr:sp macro="" textlink="">
      <xdr:nvSpPr>
        <xdr:cNvPr id="11" name="TextBox 10">
          <a:extLst>
            <a:ext uri="{FF2B5EF4-FFF2-40B4-BE49-F238E27FC236}">
              <a16:creationId xmlns:a16="http://schemas.microsoft.com/office/drawing/2014/main" id="{D8B05095-9D42-12AB-A92F-3B7D7AE43DBD}"/>
            </a:ext>
          </a:extLst>
        </xdr:cNvPr>
        <xdr:cNvSpPr txBox="1"/>
      </xdr:nvSpPr>
      <xdr:spPr>
        <a:xfrm>
          <a:off x="4676775" y="628651"/>
          <a:ext cx="208597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Customer</a:t>
          </a:r>
          <a:r>
            <a:rPr lang="en-US" sz="1400" b="1" baseline="0">
              <a:solidFill>
                <a:schemeClr val="bg1"/>
              </a:solidFill>
              <a:latin typeface="Century Gothic" panose="020B0502020202020204" pitchFamily="34" charset="0"/>
            </a:rPr>
            <a:t> Of Year</a:t>
          </a:r>
          <a:endParaRPr lang="en-NG" sz="1400" b="1">
            <a:solidFill>
              <a:schemeClr val="bg1"/>
            </a:solidFill>
            <a:latin typeface="Century Gothic" panose="020B0502020202020204" pitchFamily="34" charset="0"/>
          </a:endParaRPr>
        </a:p>
      </xdr:txBody>
    </xdr:sp>
    <xdr:clientData/>
  </xdr:twoCellAnchor>
  <xdr:twoCellAnchor>
    <xdr:from>
      <xdr:col>7</xdr:col>
      <xdr:colOff>438150</xdr:colOff>
      <xdr:row>5</xdr:row>
      <xdr:rowOff>104775</xdr:rowOff>
    </xdr:from>
    <xdr:to>
      <xdr:col>11</xdr:col>
      <xdr:colOff>95250</xdr:colOff>
      <xdr:row>7</xdr:row>
      <xdr:rowOff>66675</xdr:rowOff>
    </xdr:to>
    <xdr:sp macro="" textlink="">
      <xdr:nvSpPr>
        <xdr:cNvPr id="12" name="TextBox 11">
          <a:extLst>
            <a:ext uri="{FF2B5EF4-FFF2-40B4-BE49-F238E27FC236}">
              <a16:creationId xmlns:a16="http://schemas.microsoft.com/office/drawing/2014/main" id="{4002CE95-4131-5269-1B5E-3DDB16774360}"/>
            </a:ext>
          </a:extLst>
        </xdr:cNvPr>
        <xdr:cNvSpPr txBox="1"/>
      </xdr:nvSpPr>
      <xdr:spPr>
        <a:xfrm>
          <a:off x="4705350" y="1009650"/>
          <a:ext cx="20955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entury Gothic" panose="020B0502020202020204" pitchFamily="34" charset="0"/>
            </a:rPr>
            <a:t>Company</a:t>
          </a:r>
          <a:r>
            <a:rPr lang="en-US" sz="2400" b="1" baseline="0">
              <a:solidFill>
                <a:schemeClr val="bg1"/>
              </a:solidFill>
              <a:latin typeface="Century Gothic" panose="020B0502020202020204" pitchFamily="34" charset="0"/>
            </a:rPr>
            <a:t> D</a:t>
          </a:r>
          <a:r>
            <a:rPr lang="en-US" sz="2400" b="1">
              <a:solidFill>
                <a:schemeClr val="bg1"/>
              </a:solidFill>
              <a:latin typeface="Century Gothic" panose="020B0502020202020204" pitchFamily="34" charset="0"/>
            </a:rPr>
            <a:t>.</a:t>
          </a:r>
          <a:endParaRPr lang="en-NG" sz="2400" b="1">
            <a:solidFill>
              <a:schemeClr val="bg1"/>
            </a:solidFill>
            <a:latin typeface="Century Gothic" panose="020B0502020202020204" pitchFamily="34" charset="0"/>
          </a:endParaRPr>
        </a:p>
      </xdr:txBody>
    </xdr:sp>
    <xdr:clientData/>
  </xdr:twoCellAnchor>
  <xdr:twoCellAnchor>
    <xdr:from>
      <xdr:col>8</xdr:col>
      <xdr:colOff>276225</xdr:colOff>
      <xdr:row>7</xdr:row>
      <xdr:rowOff>85725</xdr:rowOff>
    </xdr:from>
    <xdr:to>
      <xdr:col>10</xdr:col>
      <xdr:colOff>95251</xdr:colOff>
      <xdr:row>9</xdr:row>
      <xdr:rowOff>85725</xdr:rowOff>
    </xdr:to>
    <xdr:sp macro="" textlink="">
      <xdr:nvSpPr>
        <xdr:cNvPr id="13" name="TextBox 12">
          <a:extLst>
            <a:ext uri="{FF2B5EF4-FFF2-40B4-BE49-F238E27FC236}">
              <a16:creationId xmlns:a16="http://schemas.microsoft.com/office/drawing/2014/main" id="{7C030A9C-F290-A0C2-6C5D-87837C0D5473}"/>
            </a:ext>
          </a:extLst>
        </xdr:cNvPr>
        <xdr:cNvSpPr txBox="1"/>
      </xdr:nvSpPr>
      <xdr:spPr>
        <a:xfrm>
          <a:off x="5153025" y="1352550"/>
          <a:ext cx="1038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$67.2k</a:t>
          </a:r>
          <a:endParaRPr lang="en-NG" sz="1400" b="1">
            <a:solidFill>
              <a:schemeClr val="bg1"/>
            </a:solidFill>
            <a:latin typeface="Century Gothic" panose="020B0502020202020204" pitchFamily="34" charset="0"/>
          </a:endParaRPr>
        </a:p>
      </xdr:txBody>
    </xdr:sp>
    <xdr:clientData/>
  </xdr:twoCellAnchor>
  <xdr:twoCellAnchor>
    <xdr:from>
      <xdr:col>11</xdr:col>
      <xdr:colOff>361951</xdr:colOff>
      <xdr:row>3</xdr:row>
      <xdr:rowOff>66676</xdr:rowOff>
    </xdr:from>
    <xdr:to>
      <xdr:col>15</xdr:col>
      <xdr:colOff>247651</xdr:colOff>
      <xdr:row>5</xdr:row>
      <xdr:rowOff>66675</xdr:rowOff>
    </xdr:to>
    <xdr:sp macro="" textlink="">
      <xdr:nvSpPr>
        <xdr:cNvPr id="15" name="TextBox 14">
          <a:extLst>
            <a:ext uri="{FF2B5EF4-FFF2-40B4-BE49-F238E27FC236}">
              <a16:creationId xmlns:a16="http://schemas.microsoft.com/office/drawing/2014/main" id="{6DCE7287-01B6-9315-09B5-0CF24214FB93}"/>
            </a:ext>
          </a:extLst>
        </xdr:cNvPr>
        <xdr:cNvSpPr txBox="1"/>
      </xdr:nvSpPr>
      <xdr:spPr>
        <a:xfrm>
          <a:off x="7067551" y="609601"/>
          <a:ext cx="232410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Top</a:t>
          </a:r>
          <a:r>
            <a:rPr lang="en-US" sz="1400" b="1" baseline="0">
              <a:solidFill>
                <a:schemeClr val="bg1"/>
              </a:solidFill>
              <a:latin typeface="Century Gothic" panose="020B0502020202020204" pitchFamily="34" charset="0"/>
            </a:rPr>
            <a:t> Performing Region</a:t>
          </a:r>
          <a:endParaRPr lang="en-NG" sz="1400" b="1">
            <a:solidFill>
              <a:schemeClr val="bg1"/>
            </a:solidFill>
            <a:latin typeface="Century Gothic" panose="020B0502020202020204" pitchFamily="34" charset="0"/>
          </a:endParaRPr>
        </a:p>
      </xdr:txBody>
    </xdr:sp>
    <xdr:clientData/>
  </xdr:twoCellAnchor>
  <xdr:twoCellAnchor>
    <xdr:from>
      <xdr:col>12</xdr:col>
      <xdr:colOff>228601</xdr:colOff>
      <xdr:row>5</xdr:row>
      <xdr:rowOff>114300</xdr:rowOff>
    </xdr:from>
    <xdr:to>
      <xdr:col>14</xdr:col>
      <xdr:colOff>228601</xdr:colOff>
      <xdr:row>7</xdr:row>
      <xdr:rowOff>76200</xdr:rowOff>
    </xdr:to>
    <xdr:sp macro="" textlink="">
      <xdr:nvSpPr>
        <xdr:cNvPr id="17" name="TextBox 16">
          <a:extLst>
            <a:ext uri="{FF2B5EF4-FFF2-40B4-BE49-F238E27FC236}">
              <a16:creationId xmlns:a16="http://schemas.microsoft.com/office/drawing/2014/main" id="{B5A4A861-E0F9-71A2-8094-8E6EE99BE64B}"/>
            </a:ext>
          </a:extLst>
        </xdr:cNvPr>
        <xdr:cNvSpPr txBox="1"/>
      </xdr:nvSpPr>
      <xdr:spPr>
        <a:xfrm>
          <a:off x="7543801" y="1019175"/>
          <a:ext cx="12192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entury Gothic" panose="020B0502020202020204" pitchFamily="34" charset="0"/>
            </a:rPr>
            <a:t>North.</a:t>
          </a:r>
          <a:endParaRPr lang="en-NG" sz="2400" b="1">
            <a:solidFill>
              <a:schemeClr val="bg1"/>
            </a:solidFill>
            <a:latin typeface="Century Gothic" panose="020B0502020202020204" pitchFamily="34" charset="0"/>
          </a:endParaRPr>
        </a:p>
      </xdr:txBody>
    </xdr:sp>
    <xdr:clientData/>
  </xdr:twoCellAnchor>
  <xdr:twoCellAnchor>
    <xdr:from>
      <xdr:col>12</xdr:col>
      <xdr:colOff>276225</xdr:colOff>
      <xdr:row>7</xdr:row>
      <xdr:rowOff>95250</xdr:rowOff>
    </xdr:from>
    <xdr:to>
      <xdr:col>14</xdr:col>
      <xdr:colOff>95251</xdr:colOff>
      <xdr:row>9</xdr:row>
      <xdr:rowOff>95250</xdr:rowOff>
    </xdr:to>
    <xdr:sp macro="" textlink="">
      <xdr:nvSpPr>
        <xdr:cNvPr id="24" name="TextBox 23">
          <a:extLst>
            <a:ext uri="{FF2B5EF4-FFF2-40B4-BE49-F238E27FC236}">
              <a16:creationId xmlns:a16="http://schemas.microsoft.com/office/drawing/2014/main" id="{3C9041FD-F586-5CE6-865C-DF907C99DCAF}"/>
            </a:ext>
          </a:extLst>
        </xdr:cNvPr>
        <xdr:cNvSpPr txBox="1"/>
      </xdr:nvSpPr>
      <xdr:spPr>
        <a:xfrm>
          <a:off x="7591425" y="1362075"/>
          <a:ext cx="1038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$141.7k</a:t>
          </a:r>
          <a:endParaRPr lang="en-NG" sz="1400" b="1">
            <a:solidFill>
              <a:schemeClr val="bg1"/>
            </a:solidFill>
            <a:latin typeface="Century Gothic" panose="020B0502020202020204" pitchFamily="34" charset="0"/>
          </a:endParaRPr>
        </a:p>
      </xdr:txBody>
    </xdr:sp>
    <xdr:clientData/>
  </xdr:twoCellAnchor>
  <xdr:twoCellAnchor>
    <xdr:from>
      <xdr:col>15</xdr:col>
      <xdr:colOff>457200</xdr:colOff>
      <xdr:row>3</xdr:row>
      <xdr:rowOff>76201</xdr:rowOff>
    </xdr:from>
    <xdr:to>
      <xdr:col>19</xdr:col>
      <xdr:colOff>104775</xdr:colOff>
      <xdr:row>5</xdr:row>
      <xdr:rowOff>76200</xdr:rowOff>
    </xdr:to>
    <xdr:sp macro="" textlink="">
      <xdr:nvSpPr>
        <xdr:cNvPr id="27" name="TextBox 26">
          <a:extLst>
            <a:ext uri="{FF2B5EF4-FFF2-40B4-BE49-F238E27FC236}">
              <a16:creationId xmlns:a16="http://schemas.microsoft.com/office/drawing/2014/main" id="{D9202850-5784-81C9-102D-2B32D401427E}"/>
            </a:ext>
          </a:extLst>
        </xdr:cNvPr>
        <xdr:cNvSpPr txBox="1"/>
      </xdr:nvSpPr>
      <xdr:spPr>
        <a:xfrm>
          <a:off x="9601200" y="619126"/>
          <a:ext cx="208597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Top</a:t>
          </a:r>
          <a:r>
            <a:rPr lang="en-US" sz="1400" b="1" baseline="0">
              <a:solidFill>
                <a:schemeClr val="bg1"/>
              </a:solidFill>
              <a:latin typeface="Century Gothic" panose="020B0502020202020204" pitchFamily="34" charset="0"/>
            </a:rPr>
            <a:t> Performing State</a:t>
          </a:r>
          <a:endParaRPr lang="en-NG" sz="1400" b="1">
            <a:solidFill>
              <a:schemeClr val="bg1"/>
            </a:solidFill>
            <a:latin typeface="Century Gothic" panose="020B0502020202020204" pitchFamily="34" charset="0"/>
          </a:endParaRPr>
        </a:p>
      </xdr:txBody>
    </xdr:sp>
    <xdr:clientData/>
  </xdr:twoCellAnchor>
  <xdr:twoCellAnchor>
    <xdr:from>
      <xdr:col>16</xdr:col>
      <xdr:colOff>28576</xdr:colOff>
      <xdr:row>5</xdr:row>
      <xdr:rowOff>95250</xdr:rowOff>
    </xdr:from>
    <xdr:to>
      <xdr:col>19</xdr:col>
      <xdr:colOff>142876</xdr:colOff>
      <xdr:row>7</xdr:row>
      <xdr:rowOff>57150</xdr:rowOff>
    </xdr:to>
    <xdr:sp macro="" textlink="">
      <xdr:nvSpPr>
        <xdr:cNvPr id="28" name="TextBox 27">
          <a:extLst>
            <a:ext uri="{FF2B5EF4-FFF2-40B4-BE49-F238E27FC236}">
              <a16:creationId xmlns:a16="http://schemas.microsoft.com/office/drawing/2014/main" id="{2327C1FF-C219-31E7-2CD6-D7B12C908DFB}"/>
            </a:ext>
          </a:extLst>
        </xdr:cNvPr>
        <xdr:cNvSpPr txBox="1"/>
      </xdr:nvSpPr>
      <xdr:spPr>
        <a:xfrm>
          <a:off x="9782176" y="1000125"/>
          <a:ext cx="1943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entury Gothic" panose="020B0502020202020204" pitchFamily="34" charset="0"/>
            </a:rPr>
            <a:t>New</a:t>
          </a:r>
          <a:r>
            <a:rPr lang="en-US" sz="2400" b="1" baseline="0">
              <a:solidFill>
                <a:schemeClr val="bg1"/>
              </a:solidFill>
              <a:latin typeface="Century Gothic" panose="020B0502020202020204" pitchFamily="34" charset="0"/>
            </a:rPr>
            <a:t> York</a:t>
          </a:r>
          <a:r>
            <a:rPr lang="en-US" sz="2400" b="1">
              <a:solidFill>
                <a:schemeClr val="bg1"/>
              </a:solidFill>
              <a:latin typeface="Century Gothic" panose="020B0502020202020204" pitchFamily="34" charset="0"/>
            </a:rPr>
            <a:t>.</a:t>
          </a:r>
          <a:endParaRPr lang="en-NG" sz="2400" b="1">
            <a:solidFill>
              <a:schemeClr val="bg1"/>
            </a:solidFill>
            <a:latin typeface="Century Gothic" panose="020B0502020202020204" pitchFamily="34" charset="0"/>
          </a:endParaRPr>
        </a:p>
      </xdr:txBody>
    </xdr:sp>
    <xdr:clientData/>
  </xdr:twoCellAnchor>
  <xdr:twoCellAnchor>
    <xdr:from>
      <xdr:col>16</xdr:col>
      <xdr:colOff>323850</xdr:colOff>
      <xdr:row>7</xdr:row>
      <xdr:rowOff>76200</xdr:rowOff>
    </xdr:from>
    <xdr:to>
      <xdr:col>18</xdr:col>
      <xdr:colOff>142876</xdr:colOff>
      <xdr:row>9</xdr:row>
      <xdr:rowOff>76200</xdr:rowOff>
    </xdr:to>
    <xdr:sp macro="" textlink="">
      <xdr:nvSpPr>
        <xdr:cNvPr id="31" name="TextBox 30">
          <a:extLst>
            <a:ext uri="{FF2B5EF4-FFF2-40B4-BE49-F238E27FC236}">
              <a16:creationId xmlns:a16="http://schemas.microsoft.com/office/drawing/2014/main" id="{AC6DA83D-C3F4-EB2E-300B-00D7B0FF594F}"/>
            </a:ext>
          </a:extLst>
        </xdr:cNvPr>
        <xdr:cNvSpPr txBox="1"/>
      </xdr:nvSpPr>
      <xdr:spPr>
        <a:xfrm>
          <a:off x="10077450" y="1343025"/>
          <a:ext cx="1038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$67.2k</a:t>
          </a:r>
          <a:endParaRPr lang="en-NG" sz="1400" b="1">
            <a:solidFill>
              <a:schemeClr val="bg1"/>
            </a:solidFill>
            <a:latin typeface="Century Gothic" panose="020B0502020202020204" pitchFamily="34" charset="0"/>
          </a:endParaRPr>
        </a:p>
      </xdr:txBody>
    </xdr:sp>
    <xdr:clientData/>
  </xdr:twoCellAnchor>
  <xdr:twoCellAnchor>
    <xdr:from>
      <xdr:col>19</xdr:col>
      <xdr:colOff>495300</xdr:colOff>
      <xdr:row>3</xdr:row>
      <xdr:rowOff>114301</xdr:rowOff>
    </xdr:from>
    <xdr:to>
      <xdr:col>23</xdr:col>
      <xdr:colOff>314325</xdr:colOff>
      <xdr:row>5</xdr:row>
      <xdr:rowOff>114300</xdr:rowOff>
    </xdr:to>
    <xdr:sp macro="" textlink="">
      <xdr:nvSpPr>
        <xdr:cNvPr id="37" name="TextBox 36">
          <a:extLst>
            <a:ext uri="{FF2B5EF4-FFF2-40B4-BE49-F238E27FC236}">
              <a16:creationId xmlns:a16="http://schemas.microsoft.com/office/drawing/2014/main" id="{308354B6-3F1A-A82D-797E-20A3FE11D449}"/>
            </a:ext>
          </a:extLst>
        </xdr:cNvPr>
        <xdr:cNvSpPr txBox="1"/>
      </xdr:nvSpPr>
      <xdr:spPr>
        <a:xfrm>
          <a:off x="12077700" y="657226"/>
          <a:ext cx="225742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Top</a:t>
          </a:r>
          <a:r>
            <a:rPr lang="en-US" sz="1400" b="1" baseline="0">
              <a:solidFill>
                <a:schemeClr val="bg1"/>
              </a:solidFill>
              <a:latin typeface="Century Gothic" panose="020B0502020202020204" pitchFamily="34" charset="0"/>
            </a:rPr>
            <a:t> Performing Product</a:t>
          </a:r>
          <a:endParaRPr lang="en-NG" sz="1400" b="1">
            <a:solidFill>
              <a:schemeClr val="bg1"/>
            </a:solidFill>
            <a:latin typeface="Century Gothic" panose="020B0502020202020204" pitchFamily="34" charset="0"/>
          </a:endParaRPr>
        </a:p>
      </xdr:txBody>
    </xdr:sp>
    <xdr:clientData/>
  </xdr:twoCellAnchor>
  <xdr:twoCellAnchor>
    <xdr:from>
      <xdr:col>20</xdr:col>
      <xdr:colOff>28575</xdr:colOff>
      <xdr:row>5</xdr:row>
      <xdr:rowOff>133350</xdr:rowOff>
    </xdr:from>
    <xdr:to>
      <xdr:col>23</xdr:col>
      <xdr:colOff>200025</xdr:colOff>
      <xdr:row>7</xdr:row>
      <xdr:rowOff>95250</xdr:rowOff>
    </xdr:to>
    <xdr:sp macro="" textlink="">
      <xdr:nvSpPr>
        <xdr:cNvPr id="41" name="TextBox 40">
          <a:extLst>
            <a:ext uri="{FF2B5EF4-FFF2-40B4-BE49-F238E27FC236}">
              <a16:creationId xmlns:a16="http://schemas.microsoft.com/office/drawing/2014/main" id="{D536672E-C982-C900-CEC0-9E5D18BD6CFC}"/>
            </a:ext>
          </a:extLst>
        </xdr:cNvPr>
        <xdr:cNvSpPr txBox="1"/>
      </xdr:nvSpPr>
      <xdr:spPr>
        <a:xfrm>
          <a:off x="12220575" y="1038225"/>
          <a:ext cx="2000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Century Gothic" panose="020B0502020202020204" pitchFamily="34" charset="0"/>
            </a:rPr>
            <a:t>Beverages.</a:t>
          </a:r>
          <a:endParaRPr lang="en-NG" sz="2400" b="1">
            <a:solidFill>
              <a:schemeClr val="bg1"/>
            </a:solidFill>
            <a:latin typeface="Century Gothic" panose="020B0502020202020204" pitchFamily="34" charset="0"/>
          </a:endParaRPr>
        </a:p>
      </xdr:txBody>
    </xdr:sp>
    <xdr:clientData/>
  </xdr:twoCellAnchor>
  <xdr:twoCellAnchor>
    <xdr:from>
      <xdr:col>20</xdr:col>
      <xdr:colOff>409575</xdr:colOff>
      <xdr:row>7</xdr:row>
      <xdr:rowOff>114300</xdr:rowOff>
    </xdr:from>
    <xdr:to>
      <xdr:col>22</xdr:col>
      <xdr:colOff>228601</xdr:colOff>
      <xdr:row>9</xdr:row>
      <xdr:rowOff>114300</xdr:rowOff>
    </xdr:to>
    <xdr:sp macro="" textlink="">
      <xdr:nvSpPr>
        <xdr:cNvPr id="42" name="TextBox 41">
          <a:extLst>
            <a:ext uri="{FF2B5EF4-FFF2-40B4-BE49-F238E27FC236}">
              <a16:creationId xmlns:a16="http://schemas.microsoft.com/office/drawing/2014/main" id="{122A2B82-9272-188E-0274-9BF7A09E330F}"/>
            </a:ext>
          </a:extLst>
        </xdr:cNvPr>
        <xdr:cNvSpPr txBox="1"/>
      </xdr:nvSpPr>
      <xdr:spPr>
        <a:xfrm>
          <a:off x="12601575" y="1381125"/>
          <a:ext cx="103822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Century Gothic" panose="020B0502020202020204" pitchFamily="34" charset="0"/>
            </a:rPr>
            <a:t>$110.6k</a:t>
          </a:r>
          <a:endParaRPr lang="en-NG" sz="1400" b="1">
            <a:solidFill>
              <a:schemeClr val="bg1"/>
            </a:solidFill>
            <a:latin typeface="Century Gothic" panose="020B0502020202020204" pitchFamily="34" charset="0"/>
          </a:endParaRPr>
        </a:p>
      </xdr:txBody>
    </xdr:sp>
    <xdr:clientData/>
  </xdr:twoCellAnchor>
  <xdr:twoCellAnchor editAs="oneCell">
    <xdr:from>
      <xdr:col>23</xdr:col>
      <xdr:colOff>449579</xdr:colOff>
      <xdr:row>3</xdr:row>
      <xdr:rowOff>125730</xdr:rowOff>
    </xdr:from>
    <xdr:to>
      <xdr:col>28</xdr:col>
      <xdr:colOff>190500</xdr:colOff>
      <xdr:row>5</xdr:row>
      <xdr:rowOff>171450</xdr:rowOff>
    </xdr:to>
    <mc:AlternateContent xmlns:mc="http://schemas.openxmlformats.org/markup-compatibility/2006" xmlns:a14="http://schemas.microsoft.com/office/drawing/2010/main">
      <mc:Choice Requires="a14">
        <xdr:graphicFrame macro="">
          <xdr:nvGraphicFramePr>
            <xdr:cNvPr id="43" name="Salesperson">
              <a:extLst>
                <a:ext uri="{FF2B5EF4-FFF2-40B4-BE49-F238E27FC236}">
                  <a16:creationId xmlns:a16="http://schemas.microsoft.com/office/drawing/2014/main" id="{7EAA8CCD-A0CE-A67D-A6E5-817A0DF7E89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470379" y="668655"/>
              <a:ext cx="2788921" cy="4076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487679</xdr:colOff>
      <xdr:row>6</xdr:row>
      <xdr:rowOff>78106</xdr:rowOff>
    </xdr:from>
    <xdr:to>
      <xdr:col>28</xdr:col>
      <xdr:colOff>161925</xdr:colOff>
      <xdr:row>8</xdr:row>
      <xdr:rowOff>104775</xdr:rowOff>
    </xdr:to>
    <mc:AlternateContent xmlns:mc="http://schemas.openxmlformats.org/markup-compatibility/2006" xmlns:a14="http://schemas.microsoft.com/office/drawing/2010/main">
      <mc:Choice Requires="a14">
        <xdr:graphicFrame macro="">
          <xdr:nvGraphicFramePr>
            <xdr:cNvPr id="44" name="Product Name">
              <a:extLst>
                <a:ext uri="{FF2B5EF4-FFF2-40B4-BE49-F238E27FC236}">
                  <a16:creationId xmlns:a16="http://schemas.microsoft.com/office/drawing/2014/main" id="{CF420602-F5F1-C9DB-BC82-C023F38EAD1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4508479" y="1163956"/>
              <a:ext cx="2722246" cy="38861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142875</xdr:colOff>
      <xdr:row>13</xdr:row>
      <xdr:rowOff>133350</xdr:rowOff>
    </xdr:from>
    <xdr:to>
      <xdr:col>2</xdr:col>
      <xdr:colOff>229189</xdr:colOff>
      <xdr:row>17</xdr:row>
      <xdr:rowOff>105364</xdr:rowOff>
    </xdr:to>
    <xdr:pic>
      <xdr:nvPicPr>
        <xdr:cNvPr id="46" name="Graphic 45" descr="Person with idea with solid fill">
          <a:extLst>
            <a:ext uri="{FF2B5EF4-FFF2-40B4-BE49-F238E27FC236}">
              <a16:creationId xmlns:a16="http://schemas.microsoft.com/office/drawing/2014/main" id="{C104F209-2EB8-9BE1-9FDB-2F2ED124E76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52475" y="2486025"/>
          <a:ext cx="695914" cy="695914"/>
        </a:xfrm>
        <a:prstGeom prst="rect">
          <a:avLst/>
        </a:prstGeom>
      </xdr:spPr>
    </xdr:pic>
    <xdr:clientData/>
  </xdr:twoCellAnchor>
  <xdr:twoCellAnchor>
    <xdr:from>
      <xdr:col>1</xdr:col>
      <xdr:colOff>19050</xdr:colOff>
      <xdr:row>12</xdr:row>
      <xdr:rowOff>142876</xdr:rowOff>
    </xdr:from>
    <xdr:to>
      <xdr:col>2</xdr:col>
      <xdr:colOff>228600</xdr:colOff>
      <xdr:row>13</xdr:row>
      <xdr:rowOff>133350</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B51DD56F-5473-E786-4DAC-CAC4E46CCA8A}"/>
            </a:ext>
          </a:extLst>
        </xdr:cNvPr>
        <xdr:cNvSpPr txBox="1"/>
      </xdr:nvSpPr>
      <xdr:spPr>
        <a:xfrm>
          <a:off x="628650" y="2314576"/>
          <a:ext cx="81915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235733"/>
              </a:solidFill>
              <a:latin typeface="Century Gothic" panose="020B0502020202020204" pitchFamily="34" charset="0"/>
            </a:rPr>
            <a:t>Insights</a:t>
          </a:r>
          <a:endParaRPr lang="en-NG" sz="1100" b="0">
            <a:solidFill>
              <a:srgbClr val="235733"/>
            </a:solidFill>
            <a:latin typeface="Century Gothic" panose="020B0502020202020204" pitchFamily="34" charset="0"/>
          </a:endParaRPr>
        </a:p>
      </xdr:txBody>
    </xdr:sp>
    <xdr:clientData/>
  </xdr:twoCellAnchor>
  <xdr:twoCellAnchor editAs="oneCell">
    <xdr:from>
      <xdr:col>1</xdr:col>
      <xdr:colOff>104776</xdr:colOff>
      <xdr:row>9</xdr:row>
      <xdr:rowOff>1</xdr:rowOff>
    </xdr:from>
    <xdr:to>
      <xdr:col>2</xdr:col>
      <xdr:colOff>200026</xdr:colOff>
      <xdr:row>12</xdr:row>
      <xdr:rowOff>161926</xdr:rowOff>
    </xdr:to>
    <xdr:pic>
      <xdr:nvPicPr>
        <xdr:cNvPr id="45" name="Graphic 44" descr="Speech with solid fill">
          <a:extLst>
            <a:ext uri="{FF2B5EF4-FFF2-40B4-BE49-F238E27FC236}">
              <a16:creationId xmlns:a16="http://schemas.microsoft.com/office/drawing/2014/main" id="{41C44734-967E-C90D-923D-69FEEDCAA13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14376" y="1628776"/>
          <a:ext cx="704850" cy="704850"/>
        </a:xfrm>
        <a:prstGeom prst="rect">
          <a:avLst/>
        </a:prstGeom>
      </xdr:spPr>
    </xdr:pic>
    <xdr:clientData/>
  </xdr:twoCellAnchor>
  <xdr:twoCellAnchor editAs="oneCell">
    <xdr:from>
      <xdr:col>1</xdr:col>
      <xdr:colOff>207151</xdr:colOff>
      <xdr:row>29</xdr:row>
      <xdr:rowOff>54750</xdr:rowOff>
    </xdr:from>
    <xdr:to>
      <xdr:col>2</xdr:col>
      <xdr:colOff>171451</xdr:colOff>
      <xdr:row>32</xdr:row>
      <xdr:rowOff>85725</xdr:rowOff>
    </xdr:to>
    <xdr:pic>
      <xdr:nvPicPr>
        <xdr:cNvPr id="49" name="Graphic 48" descr="Rocket with solid fill">
          <a:extLst>
            <a:ext uri="{FF2B5EF4-FFF2-40B4-BE49-F238E27FC236}">
              <a16:creationId xmlns:a16="http://schemas.microsoft.com/office/drawing/2014/main" id="{1AEDD6F7-EF50-23BE-4A58-B5B15FC092C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16751" y="5303025"/>
          <a:ext cx="573900" cy="573900"/>
        </a:xfrm>
        <a:prstGeom prst="rect">
          <a:avLst/>
        </a:prstGeom>
      </xdr:spPr>
    </xdr:pic>
    <xdr:clientData/>
  </xdr:twoCellAnchor>
  <xdr:twoCellAnchor editAs="oneCell">
    <xdr:from>
      <xdr:col>1</xdr:col>
      <xdr:colOff>176176</xdr:colOff>
      <xdr:row>19</xdr:row>
      <xdr:rowOff>61876</xdr:rowOff>
    </xdr:from>
    <xdr:to>
      <xdr:col>2</xdr:col>
      <xdr:colOff>152400</xdr:colOff>
      <xdr:row>22</xdr:row>
      <xdr:rowOff>104775</xdr:rowOff>
    </xdr:to>
    <xdr:pic>
      <xdr:nvPicPr>
        <xdr:cNvPr id="51" name="Graphic 50" descr="Research with solid fill">
          <a:extLst>
            <a:ext uri="{FF2B5EF4-FFF2-40B4-BE49-F238E27FC236}">
              <a16:creationId xmlns:a16="http://schemas.microsoft.com/office/drawing/2014/main" id="{EE7F0BCA-AC17-600B-72EF-DDC1E332AB4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5776" y="3500401"/>
          <a:ext cx="585824" cy="585824"/>
        </a:xfrm>
        <a:prstGeom prst="rect">
          <a:avLst/>
        </a:prstGeom>
      </xdr:spPr>
    </xdr:pic>
    <xdr:clientData/>
  </xdr:twoCellAnchor>
  <xdr:twoCellAnchor editAs="oneCell">
    <xdr:from>
      <xdr:col>1</xdr:col>
      <xdr:colOff>171450</xdr:colOff>
      <xdr:row>24</xdr:row>
      <xdr:rowOff>38100</xdr:rowOff>
    </xdr:from>
    <xdr:to>
      <xdr:col>2</xdr:col>
      <xdr:colOff>190500</xdr:colOff>
      <xdr:row>27</xdr:row>
      <xdr:rowOff>123825</xdr:rowOff>
    </xdr:to>
    <xdr:pic>
      <xdr:nvPicPr>
        <xdr:cNvPr id="53" name="Graphic 52" descr="Bar graph with upward trend with solid fill">
          <a:extLst>
            <a:ext uri="{FF2B5EF4-FFF2-40B4-BE49-F238E27FC236}">
              <a16:creationId xmlns:a16="http://schemas.microsoft.com/office/drawing/2014/main" id="{5F430250-573E-1C68-EA6F-85DC08E2985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81050" y="4381500"/>
          <a:ext cx="628650" cy="628650"/>
        </a:xfrm>
        <a:prstGeom prst="rect">
          <a:avLst/>
        </a:prstGeom>
      </xdr:spPr>
    </xdr:pic>
    <xdr:clientData/>
  </xdr:twoCellAnchor>
  <xdr:twoCellAnchor>
    <xdr:from>
      <xdr:col>0</xdr:col>
      <xdr:colOff>190500</xdr:colOff>
      <xdr:row>17</xdr:row>
      <xdr:rowOff>28576</xdr:rowOff>
    </xdr:from>
    <xdr:to>
      <xdr:col>2</xdr:col>
      <xdr:colOff>581025</xdr:colOff>
      <xdr:row>19</xdr:row>
      <xdr:rowOff>28575</xdr:rowOff>
    </xdr:to>
    <xdr:sp macro="" textlink="">
      <xdr:nvSpPr>
        <xdr:cNvPr id="59" name="TextBox 58">
          <a:extLst>
            <a:ext uri="{FF2B5EF4-FFF2-40B4-BE49-F238E27FC236}">
              <a16:creationId xmlns:a16="http://schemas.microsoft.com/office/drawing/2014/main" id="{94907F2E-F5F0-FF7A-5431-3A5D677C6C5E}"/>
            </a:ext>
          </a:extLst>
        </xdr:cNvPr>
        <xdr:cNvSpPr txBox="1"/>
      </xdr:nvSpPr>
      <xdr:spPr>
        <a:xfrm>
          <a:off x="190500" y="3105151"/>
          <a:ext cx="160972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235733"/>
              </a:solidFill>
              <a:latin typeface="Century Gothic" panose="020B0502020202020204" pitchFamily="34" charset="0"/>
            </a:rPr>
            <a:t>Observations</a:t>
          </a:r>
          <a:endParaRPr lang="en-NG" sz="1100" b="0">
            <a:solidFill>
              <a:srgbClr val="235733"/>
            </a:solidFill>
            <a:latin typeface="Century Gothic" panose="020B0502020202020204" pitchFamily="34" charset="0"/>
          </a:endParaRPr>
        </a:p>
      </xdr:txBody>
    </xdr:sp>
    <xdr:clientData/>
  </xdr:twoCellAnchor>
  <xdr:twoCellAnchor>
    <xdr:from>
      <xdr:col>0</xdr:col>
      <xdr:colOff>342900</xdr:colOff>
      <xdr:row>22</xdr:row>
      <xdr:rowOff>28576</xdr:rowOff>
    </xdr:from>
    <xdr:to>
      <xdr:col>2</xdr:col>
      <xdr:colOff>590550</xdr:colOff>
      <xdr:row>24</xdr:row>
      <xdr:rowOff>28575</xdr:rowOff>
    </xdr:to>
    <xdr:sp macro="" textlink="">
      <xdr:nvSpPr>
        <xdr:cNvPr id="60" name="TextBox 59">
          <a:extLst>
            <a:ext uri="{FF2B5EF4-FFF2-40B4-BE49-F238E27FC236}">
              <a16:creationId xmlns:a16="http://schemas.microsoft.com/office/drawing/2014/main" id="{FF61F532-DF01-1BB3-B99C-58BD6AB6A550}"/>
            </a:ext>
          </a:extLst>
        </xdr:cNvPr>
        <xdr:cNvSpPr txBox="1"/>
      </xdr:nvSpPr>
      <xdr:spPr>
        <a:xfrm>
          <a:off x="342900" y="4010026"/>
          <a:ext cx="146685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235733"/>
              </a:solidFill>
              <a:latin typeface="Century Gothic" panose="020B0502020202020204" pitchFamily="34" charset="0"/>
            </a:rPr>
            <a:t>Pre</a:t>
          </a:r>
          <a:r>
            <a:rPr lang="en-US" sz="1100" b="0" baseline="0">
              <a:solidFill>
                <a:srgbClr val="235733"/>
              </a:solidFill>
              <a:latin typeface="Century Gothic" panose="020B0502020202020204" pitchFamily="34" charset="0"/>
            </a:rPr>
            <a:t> - Analysis</a:t>
          </a:r>
          <a:endParaRPr lang="en-NG" sz="1100" b="0">
            <a:solidFill>
              <a:srgbClr val="235733"/>
            </a:solidFill>
            <a:latin typeface="Century Gothic" panose="020B0502020202020204" pitchFamily="34" charset="0"/>
          </a:endParaRPr>
        </a:p>
      </xdr:txBody>
    </xdr:sp>
    <xdr:clientData/>
  </xdr:twoCellAnchor>
  <xdr:twoCellAnchor>
    <xdr:from>
      <xdr:col>0</xdr:col>
      <xdr:colOff>314325</xdr:colOff>
      <xdr:row>31</xdr:row>
      <xdr:rowOff>152401</xdr:rowOff>
    </xdr:from>
    <xdr:to>
      <xdr:col>3</xdr:col>
      <xdr:colOff>19050</xdr:colOff>
      <xdr:row>33</xdr:row>
      <xdr:rowOff>152400</xdr:rowOff>
    </xdr:to>
    <xdr:sp macro="" textlink="">
      <xdr:nvSpPr>
        <xdr:cNvPr id="61" name="TextBox 60">
          <a:extLst>
            <a:ext uri="{FF2B5EF4-FFF2-40B4-BE49-F238E27FC236}">
              <a16:creationId xmlns:a16="http://schemas.microsoft.com/office/drawing/2014/main" id="{0EB45D60-DD2D-A78D-FE8A-B31DD24CF34E}"/>
            </a:ext>
          </a:extLst>
        </xdr:cNvPr>
        <xdr:cNvSpPr txBox="1"/>
      </xdr:nvSpPr>
      <xdr:spPr>
        <a:xfrm>
          <a:off x="314325" y="5762626"/>
          <a:ext cx="153352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235733"/>
              </a:solidFill>
              <a:latin typeface="Century Gothic" panose="020B0502020202020204" pitchFamily="34" charset="0"/>
            </a:rPr>
            <a:t>Recommendations</a:t>
          </a:r>
          <a:endParaRPr lang="en-NG" sz="1100" b="0">
            <a:solidFill>
              <a:srgbClr val="235733"/>
            </a:solidFill>
            <a:latin typeface="Century Gothic" panose="020B0502020202020204" pitchFamily="34" charset="0"/>
          </a:endParaRPr>
        </a:p>
      </xdr:txBody>
    </xdr:sp>
    <xdr:clientData/>
  </xdr:twoCellAnchor>
  <xdr:twoCellAnchor>
    <xdr:from>
      <xdr:col>0</xdr:col>
      <xdr:colOff>333375</xdr:colOff>
      <xdr:row>27</xdr:row>
      <xdr:rowOff>9526</xdr:rowOff>
    </xdr:from>
    <xdr:to>
      <xdr:col>3</xdr:col>
      <xdr:colOff>9525</xdr:colOff>
      <xdr:row>29</xdr:row>
      <xdr:rowOff>9525</xdr:rowOff>
    </xdr:to>
    <xdr:sp macro="" textlink="">
      <xdr:nvSpPr>
        <xdr:cNvPr id="62" name="TextBox 61">
          <a:extLst>
            <a:ext uri="{FF2B5EF4-FFF2-40B4-BE49-F238E27FC236}">
              <a16:creationId xmlns:a16="http://schemas.microsoft.com/office/drawing/2014/main" id="{7043170C-DC63-5604-2BF6-0B50BD2F7354}"/>
            </a:ext>
          </a:extLst>
        </xdr:cNvPr>
        <xdr:cNvSpPr txBox="1"/>
      </xdr:nvSpPr>
      <xdr:spPr>
        <a:xfrm>
          <a:off x="333375" y="4895851"/>
          <a:ext cx="150495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235733"/>
              </a:solidFill>
              <a:latin typeface="Century Gothic" panose="020B0502020202020204" pitchFamily="34" charset="0"/>
            </a:rPr>
            <a:t>Post - Analysis</a:t>
          </a:r>
          <a:endParaRPr lang="en-NG" sz="1100" b="0">
            <a:solidFill>
              <a:srgbClr val="235733"/>
            </a:solidFill>
            <a:latin typeface="Century Gothic" panose="020B0502020202020204" pitchFamily="34" charset="0"/>
          </a:endParaRPr>
        </a:p>
      </xdr:txBody>
    </xdr:sp>
    <xdr:clientData/>
  </xdr:twoCellAnchor>
  <xdr:twoCellAnchor editAs="oneCell">
    <xdr:from>
      <xdr:col>1</xdr:col>
      <xdr:colOff>19050</xdr:colOff>
      <xdr:row>1</xdr:row>
      <xdr:rowOff>161925</xdr:rowOff>
    </xdr:from>
    <xdr:to>
      <xdr:col>2</xdr:col>
      <xdr:colOff>95250</xdr:colOff>
      <xdr:row>5</xdr:row>
      <xdr:rowOff>123825</xdr:rowOff>
    </xdr:to>
    <xdr:pic>
      <xdr:nvPicPr>
        <xdr:cNvPr id="70" name="Picture 69">
          <a:extLst>
            <a:ext uri="{FF2B5EF4-FFF2-40B4-BE49-F238E27FC236}">
              <a16:creationId xmlns:a16="http://schemas.microsoft.com/office/drawing/2014/main" id="{6CD8526E-B38A-DE23-6F26-721964EA934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28650" y="342900"/>
          <a:ext cx="685800" cy="685800"/>
        </a:xfrm>
        <a:prstGeom prst="rect">
          <a:avLst/>
        </a:prstGeom>
      </xdr:spPr>
    </xdr:pic>
    <xdr:clientData/>
  </xdr:twoCellAnchor>
  <xdr:twoCellAnchor>
    <xdr:from>
      <xdr:col>0</xdr:col>
      <xdr:colOff>133350</xdr:colOff>
      <xdr:row>4</xdr:row>
      <xdr:rowOff>161925</xdr:rowOff>
    </xdr:from>
    <xdr:to>
      <xdr:col>3</xdr:col>
      <xdr:colOff>238126</xdr:colOff>
      <xdr:row>8</xdr:row>
      <xdr:rowOff>76200</xdr:rowOff>
    </xdr:to>
    <xdr:sp macro="" textlink="">
      <xdr:nvSpPr>
        <xdr:cNvPr id="71" name="TextBox 70">
          <a:extLst>
            <a:ext uri="{FF2B5EF4-FFF2-40B4-BE49-F238E27FC236}">
              <a16:creationId xmlns:a16="http://schemas.microsoft.com/office/drawing/2014/main" id="{06ACB0C6-AF26-EE23-D7FA-9DFD7F5E95A0}"/>
            </a:ext>
          </a:extLst>
        </xdr:cNvPr>
        <xdr:cNvSpPr txBox="1"/>
      </xdr:nvSpPr>
      <xdr:spPr>
        <a:xfrm>
          <a:off x="133350" y="885825"/>
          <a:ext cx="1933576"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235733"/>
              </a:solidFill>
              <a:latin typeface="Century Gothic" panose="020B0502020202020204" pitchFamily="34" charset="0"/>
            </a:rPr>
            <a:t>De</a:t>
          </a:r>
          <a:r>
            <a:rPr lang="en-US" sz="1400" b="1" baseline="0">
              <a:solidFill>
                <a:srgbClr val="235733"/>
              </a:solidFill>
              <a:latin typeface="Century Gothic" panose="020B0502020202020204" pitchFamily="34" charset="0"/>
            </a:rPr>
            <a:t> Angels Superstores</a:t>
          </a:r>
          <a:endParaRPr lang="en-NG" sz="1400" b="1">
            <a:solidFill>
              <a:srgbClr val="235733"/>
            </a:solidFill>
            <a:latin typeface="Century Gothic" panose="020B0502020202020204" pitchFamily="34" charset="0"/>
          </a:endParaRPr>
        </a:p>
      </xdr:txBody>
    </xdr:sp>
    <xdr:clientData/>
  </xdr:twoCellAnchor>
  <xdr:twoCellAnchor>
    <xdr:from>
      <xdr:col>0</xdr:col>
      <xdr:colOff>295275</xdr:colOff>
      <xdr:row>7</xdr:row>
      <xdr:rowOff>133350</xdr:rowOff>
    </xdr:from>
    <xdr:to>
      <xdr:col>2</xdr:col>
      <xdr:colOff>600075</xdr:colOff>
      <xdr:row>9</xdr:row>
      <xdr:rowOff>28575</xdr:rowOff>
    </xdr:to>
    <xdr:sp macro="" textlink="">
      <xdr:nvSpPr>
        <xdr:cNvPr id="72" name="TextBox 71">
          <a:extLst>
            <a:ext uri="{FF2B5EF4-FFF2-40B4-BE49-F238E27FC236}">
              <a16:creationId xmlns:a16="http://schemas.microsoft.com/office/drawing/2014/main" id="{68E79B83-42EA-1A3D-B9A7-DCC9F7057C33}"/>
            </a:ext>
          </a:extLst>
        </xdr:cNvPr>
        <xdr:cNvSpPr txBox="1"/>
      </xdr:nvSpPr>
      <xdr:spPr>
        <a:xfrm>
          <a:off x="295275" y="1400175"/>
          <a:ext cx="1524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235733"/>
              </a:solidFill>
              <a:latin typeface="Century Gothic" panose="020B0502020202020204" pitchFamily="34" charset="0"/>
            </a:rPr>
            <a:t>Data Team</a:t>
          </a:r>
          <a:endParaRPr lang="en-NG" sz="1100" b="0">
            <a:solidFill>
              <a:srgbClr val="235733"/>
            </a:solidFill>
            <a:latin typeface="Century Gothic" panose="020B0502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76201</xdr:rowOff>
    </xdr:from>
    <xdr:to>
      <xdr:col>28</xdr:col>
      <xdr:colOff>9525</xdr:colOff>
      <xdr:row>41</xdr:row>
      <xdr:rowOff>47626</xdr:rowOff>
    </xdr:to>
    <xdr:sp macro="" textlink="">
      <xdr:nvSpPr>
        <xdr:cNvPr id="2" name="Rectangle 1">
          <a:extLst>
            <a:ext uri="{FF2B5EF4-FFF2-40B4-BE49-F238E27FC236}">
              <a16:creationId xmlns:a16="http://schemas.microsoft.com/office/drawing/2014/main" id="{EF286D91-DBDC-FF52-11A5-CCBA0D2B0ED9}"/>
            </a:ext>
          </a:extLst>
        </xdr:cNvPr>
        <xdr:cNvSpPr/>
      </xdr:nvSpPr>
      <xdr:spPr>
        <a:xfrm>
          <a:off x="95250" y="76201"/>
          <a:ext cx="16983075" cy="73914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314325</xdr:colOff>
      <xdr:row>0</xdr:row>
      <xdr:rowOff>161925</xdr:rowOff>
    </xdr:from>
    <xdr:to>
      <xdr:col>4</xdr:col>
      <xdr:colOff>66675</xdr:colOff>
      <xdr:row>40</xdr:row>
      <xdr:rowOff>142875</xdr:rowOff>
    </xdr:to>
    <xdr:sp macro="" textlink="">
      <xdr:nvSpPr>
        <xdr:cNvPr id="3" name="Rectangle 2">
          <a:extLst>
            <a:ext uri="{FF2B5EF4-FFF2-40B4-BE49-F238E27FC236}">
              <a16:creationId xmlns:a16="http://schemas.microsoft.com/office/drawing/2014/main" id="{ECBF0304-0117-FE0E-A102-41AA069ED4D2}"/>
            </a:ext>
          </a:extLst>
        </xdr:cNvPr>
        <xdr:cNvSpPr/>
      </xdr:nvSpPr>
      <xdr:spPr>
        <a:xfrm>
          <a:off x="314325" y="161925"/>
          <a:ext cx="2190750" cy="7219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333375</xdr:colOff>
      <xdr:row>4</xdr:row>
      <xdr:rowOff>66676</xdr:rowOff>
    </xdr:from>
    <xdr:to>
      <xdr:col>11</xdr:col>
      <xdr:colOff>57150</xdr:colOff>
      <xdr:row>15</xdr:row>
      <xdr:rowOff>38100</xdr:rowOff>
    </xdr:to>
    <xdr:sp macro="" textlink="">
      <xdr:nvSpPr>
        <xdr:cNvPr id="6" name="Rectangle 5">
          <a:extLst>
            <a:ext uri="{FF2B5EF4-FFF2-40B4-BE49-F238E27FC236}">
              <a16:creationId xmlns:a16="http://schemas.microsoft.com/office/drawing/2014/main" id="{EFE5CCD7-1C30-4E5D-1A70-55E8838548C0}"/>
            </a:ext>
          </a:extLst>
        </xdr:cNvPr>
        <xdr:cNvSpPr/>
      </xdr:nvSpPr>
      <xdr:spPr>
        <a:xfrm>
          <a:off x="2771775" y="790576"/>
          <a:ext cx="3990975" cy="19621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333375</xdr:colOff>
      <xdr:row>1</xdr:row>
      <xdr:rowOff>28575</xdr:rowOff>
    </xdr:from>
    <xdr:to>
      <xdr:col>21</xdr:col>
      <xdr:colOff>495300</xdr:colOff>
      <xdr:row>3</xdr:row>
      <xdr:rowOff>47625</xdr:rowOff>
    </xdr:to>
    <xdr:sp macro="" textlink="">
      <xdr:nvSpPr>
        <xdr:cNvPr id="7" name="TextBox 6">
          <a:extLst>
            <a:ext uri="{FF2B5EF4-FFF2-40B4-BE49-F238E27FC236}">
              <a16:creationId xmlns:a16="http://schemas.microsoft.com/office/drawing/2014/main" id="{87BF3403-C0DD-804D-ED15-E7404389ED4F}"/>
            </a:ext>
          </a:extLst>
        </xdr:cNvPr>
        <xdr:cNvSpPr txBox="1"/>
      </xdr:nvSpPr>
      <xdr:spPr>
        <a:xfrm>
          <a:off x="2771775" y="209550"/>
          <a:ext cx="105251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11</xdr:col>
      <xdr:colOff>304800</xdr:colOff>
      <xdr:row>4</xdr:row>
      <xdr:rowOff>76201</xdr:rowOff>
    </xdr:from>
    <xdr:to>
      <xdr:col>27</xdr:col>
      <xdr:colOff>19050</xdr:colOff>
      <xdr:row>15</xdr:row>
      <xdr:rowOff>28576</xdr:rowOff>
    </xdr:to>
    <xdr:sp macro="" textlink="">
      <xdr:nvSpPr>
        <xdr:cNvPr id="9" name="Rectangle 8">
          <a:extLst>
            <a:ext uri="{FF2B5EF4-FFF2-40B4-BE49-F238E27FC236}">
              <a16:creationId xmlns:a16="http://schemas.microsoft.com/office/drawing/2014/main" id="{3039AA75-321D-4F57-7005-883002674A4E}"/>
            </a:ext>
          </a:extLst>
        </xdr:cNvPr>
        <xdr:cNvSpPr/>
      </xdr:nvSpPr>
      <xdr:spPr>
        <a:xfrm>
          <a:off x="7010400" y="800101"/>
          <a:ext cx="9467850" cy="1943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342900</xdr:colOff>
      <xdr:row>16</xdr:row>
      <xdr:rowOff>0</xdr:rowOff>
    </xdr:from>
    <xdr:to>
      <xdr:col>11</xdr:col>
      <xdr:colOff>476250</xdr:colOff>
      <xdr:row>28</xdr:row>
      <xdr:rowOff>28576</xdr:rowOff>
    </xdr:to>
    <xdr:sp macro="" textlink="">
      <xdr:nvSpPr>
        <xdr:cNvPr id="10" name="Rectangle 9">
          <a:extLst>
            <a:ext uri="{FF2B5EF4-FFF2-40B4-BE49-F238E27FC236}">
              <a16:creationId xmlns:a16="http://schemas.microsoft.com/office/drawing/2014/main" id="{A2FCCC9D-599B-F89F-DCBF-AFB22BACFD38}"/>
            </a:ext>
          </a:extLst>
        </xdr:cNvPr>
        <xdr:cNvSpPr/>
      </xdr:nvSpPr>
      <xdr:spPr>
        <a:xfrm>
          <a:off x="2781300" y="2895600"/>
          <a:ext cx="4400550" cy="2200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323850</xdr:colOff>
      <xdr:row>28</xdr:row>
      <xdr:rowOff>171451</xdr:rowOff>
    </xdr:from>
    <xdr:to>
      <xdr:col>11</xdr:col>
      <xdr:colOff>47625</xdr:colOff>
      <xdr:row>40</xdr:row>
      <xdr:rowOff>57150</xdr:rowOff>
    </xdr:to>
    <xdr:sp macro="" textlink="">
      <xdr:nvSpPr>
        <xdr:cNvPr id="11" name="Rectangle 10">
          <a:extLst>
            <a:ext uri="{FF2B5EF4-FFF2-40B4-BE49-F238E27FC236}">
              <a16:creationId xmlns:a16="http://schemas.microsoft.com/office/drawing/2014/main" id="{7A396344-0579-63FF-AF25-407429E80233}"/>
            </a:ext>
          </a:extLst>
        </xdr:cNvPr>
        <xdr:cNvSpPr/>
      </xdr:nvSpPr>
      <xdr:spPr>
        <a:xfrm>
          <a:off x="2762250" y="5238751"/>
          <a:ext cx="3990975" cy="20573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57151</xdr:colOff>
      <xdr:row>16</xdr:row>
      <xdr:rowOff>9525</xdr:rowOff>
    </xdr:from>
    <xdr:to>
      <xdr:col>19</xdr:col>
      <xdr:colOff>247651</xdr:colOff>
      <xdr:row>28</xdr:row>
      <xdr:rowOff>38101</xdr:rowOff>
    </xdr:to>
    <xdr:sp macro="" textlink="">
      <xdr:nvSpPr>
        <xdr:cNvPr id="12" name="Rectangle 11">
          <a:extLst>
            <a:ext uri="{FF2B5EF4-FFF2-40B4-BE49-F238E27FC236}">
              <a16:creationId xmlns:a16="http://schemas.microsoft.com/office/drawing/2014/main" id="{99C6C3BA-A87E-627C-B6BB-5D937009FE93}"/>
            </a:ext>
          </a:extLst>
        </xdr:cNvPr>
        <xdr:cNvSpPr/>
      </xdr:nvSpPr>
      <xdr:spPr>
        <a:xfrm>
          <a:off x="7372351" y="2905125"/>
          <a:ext cx="4457700" cy="2200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457200</xdr:colOff>
      <xdr:row>16</xdr:row>
      <xdr:rowOff>9525</xdr:rowOff>
    </xdr:from>
    <xdr:to>
      <xdr:col>27</xdr:col>
      <xdr:colOff>9525</xdr:colOff>
      <xdr:row>28</xdr:row>
      <xdr:rowOff>38101</xdr:rowOff>
    </xdr:to>
    <xdr:sp macro="" textlink="">
      <xdr:nvSpPr>
        <xdr:cNvPr id="13" name="Rectangle 12">
          <a:extLst>
            <a:ext uri="{FF2B5EF4-FFF2-40B4-BE49-F238E27FC236}">
              <a16:creationId xmlns:a16="http://schemas.microsoft.com/office/drawing/2014/main" id="{676F597B-F25D-2313-1D61-2C7CA9D14DE6}"/>
            </a:ext>
          </a:extLst>
        </xdr:cNvPr>
        <xdr:cNvSpPr/>
      </xdr:nvSpPr>
      <xdr:spPr>
        <a:xfrm>
          <a:off x="12039600" y="2905125"/>
          <a:ext cx="4429125" cy="2200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276225</xdr:colOff>
      <xdr:row>29</xdr:row>
      <xdr:rowOff>9526</xdr:rowOff>
    </xdr:from>
    <xdr:to>
      <xdr:col>26</xdr:col>
      <xdr:colOff>600075</xdr:colOff>
      <xdr:row>40</xdr:row>
      <xdr:rowOff>76200</xdr:rowOff>
    </xdr:to>
    <xdr:sp macro="" textlink="">
      <xdr:nvSpPr>
        <xdr:cNvPr id="14" name="Rectangle 13">
          <a:extLst>
            <a:ext uri="{FF2B5EF4-FFF2-40B4-BE49-F238E27FC236}">
              <a16:creationId xmlns:a16="http://schemas.microsoft.com/office/drawing/2014/main" id="{701204A0-E214-6FD0-01D8-6C88A9B21624}"/>
            </a:ext>
          </a:extLst>
        </xdr:cNvPr>
        <xdr:cNvSpPr/>
      </xdr:nvSpPr>
      <xdr:spPr>
        <a:xfrm>
          <a:off x="6981825" y="5257801"/>
          <a:ext cx="9467850" cy="20573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95251</xdr:colOff>
      <xdr:row>0</xdr:row>
      <xdr:rowOff>76201</xdr:rowOff>
    </xdr:from>
    <xdr:to>
      <xdr:col>27</xdr:col>
      <xdr:colOff>304801</xdr:colOff>
      <xdr:row>41</xdr:row>
      <xdr:rowOff>47626</xdr:rowOff>
    </xdr:to>
    <xdr:sp macro="" textlink="">
      <xdr:nvSpPr>
        <xdr:cNvPr id="2" name="Rectangle 1">
          <a:extLst>
            <a:ext uri="{FF2B5EF4-FFF2-40B4-BE49-F238E27FC236}">
              <a16:creationId xmlns:a16="http://schemas.microsoft.com/office/drawing/2014/main" id="{FF86DB6F-DB4A-4320-878E-80C78F1C51A1}"/>
            </a:ext>
          </a:extLst>
        </xdr:cNvPr>
        <xdr:cNvSpPr/>
      </xdr:nvSpPr>
      <xdr:spPr>
        <a:xfrm>
          <a:off x="95251" y="76201"/>
          <a:ext cx="16668750" cy="7391400"/>
        </a:xfrm>
        <a:prstGeom prst="rect">
          <a:avLst/>
        </a:prstGeom>
        <a:solidFill>
          <a:srgbClr val="D8F0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314325</xdr:colOff>
      <xdr:row>0</xdr:row>
      <xdr:rowOff>161925</xdr:rowOff>
    </xdr:from>
    <xdr:to>
      <xdr:col>4</xdr:col>
      <xdr:colOff>66675</xdr:colOff>
      <xdr:row>40</xdr:row>
      <xdr:rowOff>142875</xdr:rowOff>
    </xdr:to>
    <xdr:sp macro="" textlink="">
      <xdr:nvSpPr>
        <xdr:cNvPr id="3" name="Rectangle 2">
          <a:extLst>
            <a:ext uri="{FF2B5EF4-FFF2-40B4-BE49-F238E27FC236}">
              <a16:creationId xmlns:a16="http://schemas.microsoft.com/office/drawing/2014/main" id="{6C04B9AF-8237-40A5-8A7A-3DAF96B1205F}"/>
            </a:ext>
          </a:extLst>
        </xdr:cNvPr>
        <xdr:cNvSpPr/>
      </xdr:nvSpPr>
      <xdr:spPr>
        <a:xfrm>
          <a:off x="314325" y="161925"/>
          <a:ext cx="2190750" cy="7219950"/>
        </a:xfrm>
        <a:prstGeom prst="rect">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333375</xdr:colOff>
      <xdr:row>4</xdr:row>
      <xdr:rowOff>66676</xdr:rowOff>
    </xdr:from>
    <xdr:to>
      <xdr:col>11</xdr:col>
      <xdr:colOff>57150</xdr:colOff>
      <xdr:row>15</xdr:row>
      <xdr:rowOff>38100</xdr:rowOff>
    </xdr:to>
    <xdr:sp macro="" textlink="">
      <xdr:nvSpPr>
        <xdr:cNvPr id="4" name="Rectangle 3">
          <a:extLst>
            <a:ext uri="{FF2B5EF4-FFF2-40B4-BE49-F238E27FC236}">
              <a16:creationId xmlns:a16="http://schemas.microsoft.com/office/drawing/2014/main" id="{1DC17AF0-B6EE-4375-8F24-965BDB197769}"/>
            </a:ext>
          </a:extLst>
        </xdr:cNvPr>
        <xdr:cNvSpPr/>
      </xdr:nvSpPr>
      <xdr:spPr>
        <a:xfrm>
          <a:off x="2771775" y="798196"/>
          <a:ext cx="3990975" cy="198310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333375</xdr:colOff>
      <xdr:row>1</xdr:row>
      <xdr:rowOff>28575</xdr:rowOff>
    </xdr:from>
    <xdr:to>
      <xdr:col>21</xdr:col>
      <xdr:colOff>495300</xdr:colOff>
      <xdr:row>3</xdr:row>
      <xdr:rowOff>47625</xdr:rowOff>
    </xdr:to>
    <xdr:sp macro="" textlink="">
      <xdr:nvSpPr>
        <xdr:cNvPr id="5" name="TextBox 4">
          <a:extLst>
            <a:ext uri="{FF2B5EF4-FFF2-40B4-BE49-F238E27FC236}">
              <a16:creationId xmlns:a16="http://schemas.microsoft.com/office/drawing/2014/main" id="{3778C107-9D5F-44A3-8B49-810DC6B5E080}"/>
            </a:ext>
          </a:extLst>
        </xdr:cNvPr>
        <xdr:cNvSpPr txBox="1"/>
      </xdr:nvSpPr>
      <xdr:spPr>
        <a:xfrm>
          <a:off x="2771775" y="211455"/>
          <a:ext cx="10525125" cy="3848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rgbClr val="235733"/>
              </a:solidFill>
              <a:effectLst/>
              <a:latin typeface="Aptos" panose="020B0004020202020204" pitchFamily="34" charset="0"/>
              <a:ea typeface="+mn-ea"/>
              <a:cs typeface="+mn-cs"/>
            </a:rPr>
            <a:t>Zubbiee's Super Mart Analysis for year 2014</a:t>
          </a:r>
          <a:endParaRPr lang="en-NG" sz="1800">
            <a:solidFill>
              <a:srgbClr val="235733"/>
            </a:solidFill>
            <a:effectLst/>
            <a:latin typeface="Aptos" panose="020B0004020202020204" pitchFamily="34" charset="0"/>
          </a:endParaRPr>
        </a:p>
        <a:p>
          <a:endParaRPr lang="en-NG" sz="1800">
            <a:solidFill>
              <a:srgbClr val="235733"/>
            </a:solidFill>
            <a:latin typeface="Aptos" panose="020B0004020202020204" pitchFamily="34" charset="0"/>
          </a:endParaRPr>
        </a:p>
      </xdr:txBody>
    </xdr:sp>
    <xdr:clientData/>
  </xdr:twoCellAnchor>
  <xdr:twoCellAnchor>
    <xdr:from>
      <xdr:col>11</xdr:col>
      <xdr:colOff>304800</xdr:colOff>
      <xdr:row>4</xdr:row>
      <xdr:rowOff>76201</xdr:rowOff>
    </xdr:from>
    <xdr:to>
      <xdr:col>27</xdr:col>
      <xdr:colOff>19050</xdr:colOff>
      <xdr:row>15</xdr:row>
      <xdr:rowOff>28576</xdr:rowOff>
    </xdr:to>
    <xdr:sp macro="" textlink="">
      <xdr:nvSpPr>
        <xdr:cNvPr id="6" name="Rectangle 5">
          <a:extLst>
            <a:ext uri="{FF2B5EF4-FFF2-40B4-BE49-F238E27FC236}">
              <a16:creationId xmlns:a16="http://schemas.microsoft.com/office/drawing/2014/main" id="{36021B68-C12F-49FD-A00C-1332ABD42E5F}"/>
            </a:ext>
          </a:extLst>
        </xdr:cNvPr>
        <xdr:cNvSpPr/>
      </xdr:nvSpPr>
      <xdr:spPr>
        <a:xfrm>
          <a:off x="7010400" y="807721"/>
          <a:ext cx="9467850" cy="19640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342900</xdr:colOff>
      <xdr:row>16</xdr:row>
      <xdr:rowOff>0</xdr:rowOff>
    </xdr:from>
    <xdr:to>
      <xdr:col>11</xdr:col>
      <xdr:colOff>476250</xdr:colOff>
      <xdr:row>28</xdr:row>
      <xdr:rowOff>28576</xdr:rowOff>
    </xdr:to>
    <xdr:sp macro="" textlink="">
      <xdr:nvSpPr>
        <xdr:cNvPr id="7" name="Rectangle 6">
          <a:extLst>
            <a:ext uri="{FF2B5EF4-FFF2-40B4-BE49-F238E27FC236}">
              <a16:creationId xmlns:a16="http://schemas.microsoft.com/office/drawing/2014/main" id="{5901D355-B9F8-4102-AAD0-FCB970D5A249}"/>
            </a:ext>
          </a:extLst>
        </xdr:cNvPr>
        <xdr:cNvSpPr/>
      </xdr:nvSpPr>
      <xdr:spPr>
        <a:xfrm>
          <a:off x="2781300" y="2926080"/>
          <a:ext cx="4400550" cy="22231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323850</xdr:colOff>
      <xdr:row>28</xdr:row>
      <xdr:rowOff>171451</xdr:rowOff>
    </xdr:from>
    <xdr:to>
      <xdr:col>11</xdr:col>
      <xdr:colOff>47625</xdr:colOff>
      <xdr:row>40</xdr:row>
      <xdr:rowOff>57150</xdr:rowOff>
    </xdr:to>
    <xdr:sp macro="" textlink="">
      <xdr:nvSpPr>
        <xdr:cNvPr id="8" name="Rectangle 7">
          <a:extLst>
            <a:ext uri="{FF2B5EF4-FFF2-40B4-BE49-F238E27FC236}">
              <a16:creationId xmlns:a16="http://schemas.microsoft.com/office/drawing/2014/main" id="{7530D963-87AF-4326-8906-93A50B5426AF}"/>
            </a:ext>
          </a:extLst>
        </xdr:cNvPr>
        <xdr:cNvSpPr/>
      </xdr:nvSpPr>
      <xdr:spPr>
        <a:xfrm>
          <a:off x="2762250" y="5292091"/>
          <a:ext cx="3990975" cy="20802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57151</xdr:colOff>
      <xdr:row>16</xdr:row>
      <xdr:rowOff>9525</xdr:rowOff>
    </xdr:from>
    <xdr:to>
      <xdr:col>19</xdr:col>
      <xdr:colOff>247651</xdr:colOff>
      <xdr:row>28</xdr:row>
      <xdr:rowOff>38101</xdr:rowOff>
    </xdr:to>
    <xdr:sp macro="" textlink="">
      <xdr:nvSpPr>
        <xdr:cNvPr id="9" name="Rectangle 8">
          <a:extLst>
            <a:ext uri="{FF2B5EF4-FFF2-40B4-BE49-F238E27FC236}">
              <a16:creationId xmlns:a16="http://schemas.microsoft.com/office/drawing/2014/main" id="{0277259D-F759-4789-9909-9B0FF7390176}"/>
            </a:ext>
          </a:extLst>
        </xdr:cNvPr>
        <xdr:cNvSpPr/>
      </xdr:nvSpPr>
      <xdr:spPr>
        <a:xfrm>
          <a:off x="7372351" y="2905125"/>
          <a:ext cx="4457700" cy="2200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457200</xdr:colOff>
      <xdr:row>16</xdr:row>
      <xdr:rowOff>9525</xdr:rowOff>
    </xdr:from>
    <xdr:to>
      <xdr:col>27</xdr:col>
      <xdr:colOff>9525</xdr:colOff>
      <xdr:row>28</xdr:row>
      <xdr:rowOff>38101</xdr:rowOff>
    </xdr:to>
    <xdr:sp macro="" textlink="">
      <xdr:nvSpPr>
        <xdr:cNvPr id="10" name="Rectangle 9">
          <a:extLst>
            <a:ext uri="{FF2B5EF4-FFF2-40B4-BE49-F238E27FC236}">
              <a16:creationId xmlns:a16="http://schemas.microsoft.com/office/drawing/2014/main" id="{16403704-04D4-409C-9F7A-3F0C056247A4}"/>
            </a:ext>
          </a:extLst>
        </xdr:cNvPr>
        <xdr:cNvSpPr/>
      </xdr:nvSpPr>
      <xdr:spPr>
        <a:xfrm>
          <a:off x="12039600" y="2935605"/>
          <a:ext cx="4429125" cy="22231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276225</xdr:colOff>
      <xdr:row>29</xdr:row>
      <xdr:rowOff>9526</xdr:rowOff>
    </xdr:from>
    <xdr:to>
      <xdr:col>26</xdr:col>
      <xdr:colOff>600075</xdr:colOff>
      <xdr:row>40</xdr:row>
      <xdr:rowOff>76200</xdr:rowOff>
    </xdr:to>
    <xdr:sp macro="" textlink="">
      <xdr:nvSpPr>
        <xdr:cNvPr id="11" name="Rectangle 10">
          <a:extLst>
            <a:ext uri="{FF2B5EF4-FFF2-40B4-BE49-F238E27FC236}">
              <a16:creationId xmlns:a16="http://schemas.microsoft.com/office/drawing/2014/main" id="{457BF3AF-F57A-44DF-82E2-44762D2400CE}"/>
            </a:ext>
          </a:extLst>
        </xdr:cNvPr>
        <xdr:cNvSpPr/>
      </xdr:nvSpPr>
      <xdr:spPr>
        <a:xfrm>
          <a:off x="6981825" y="5313046"/>
          <a:ext cx="9467850" cy="207835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142875</xdr:colOff>
      <xdr:row>5</xdr:row>
      <xdr:rowOff>76200</xdr:rowOff>
    </xdr:from>
    <xdr:to>
      <xdr:col>19</xdr:col>
      <xdr:colOff>161925</xdr:colOff>
      <xdr:row>14</xdr:row>
      <xdr:rowOff>76200</xdr:rowOff>
    </xdr:to>
    <xdr:cxnSp macro="">
      <xdr:nvCxnSpPr>
        <xdr:cNvPr id="13" name="Straight Connector 12">
          <a:extLst>
            <a:ext uri="{FF2B5EF4-FFF2-40B4-BE49-F238E27FC236}">
              <a16:creationId xmlns:a16="http://schemas.microsoft.com/office/drawing/2014/main" id="{D9907FA9-A4C7-0798-6D80-A969DDE6F078}"/>
            </a:ext>
          </a:extLst>
        </xdr:cNvPr>
        <xdr:cNvCxnSpPr/>
      </xdr:nvCxnSpPr>
      <xdr:spPr>
        <a:xfrm>
          <a:off x="11725275" y="981075"/>
          <a:ext cx="19050" cy="1628775"/>
        </a:xfrm>
        <a:prstGeom prst="line">
          <a:avLst/>
        </a:prstGeom>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76199</xdr:colOff>
      <xdr:row>4</xdr:row>
      <xdr:rowOff>150496</xdr:rowOff>
    </xdr:from>
    <xdr:to>
      <xdr:col>18</xdr:col>
      <xdr:colOff>314324</xdr:colOff>
      <xdr:row>14</xdr:row>
      <xdr:rowOff>161925</xdr:rowOff>
    </xdr:to>
    <xdr:graphicFrame macro="">
      <xdr:nvGraphicFramePr>
        <xdr:cNvPr id="14" name="Chart 13">
          <a:extLst>
            <a:ext uri="{FF2B5EF4-FFF2-40B4-BE49-F238E27FC236}">
              <a16:creationId xmlns:a16="http://schemas.microsoft.com/office/drawing/2014/main" id="{8833FBD5-5256-487A-B35A-A83869E39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180975</xdr:colOff>
      <xdr:row>5</xdr:row>
      <xdr:rowOff>57149</xdr:rowOff>
    </xdr:from>
    <xdr:to>
      <xdr:col>26</xdr:col>
      <xdr:colOff>161924</xdr:colOff>
      <xdr:row>15</xdr:row>
      <xdr:rowOff>36196</xdr:rowOff>
    </xdr:to>
    <xdr:graphicFrame macro="">
      <xdr:nvGraphicFramePr>
        <xdr:cNvPr id="15" name="Chart 14">
          <a:extLst>
            <a:ext uri="{FF2B5EF4-FFF2-40B4-BE49-F238E27FC236}">
              <a16:creationId xmlns:a16="http://schemas.microsoft.com/office/drawing/2014/main" id="{0F7310AD-375C-4ECC-89EB-A2EDCDCA7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333375</xdr:colOff>
      <xdr:row>4</xdr:row>
      <xdr:rowOff>76200</xdr:rowOff>
    </xdr:from>
    <xdr:to>
      <xdr:col>14</xdr:col>
      <xdr:colOff>266700</xdr:colOff>
      <xdr:row>5</xdr:row>
      <xdr:rowOff>133350</xdr:rowOff>
    </xdr:to>
    <xdr:sp macro="" textlink="">
      <xdr:nvSpPr>
        <xdr:cNvPr id="16" name="TextBox 15">
          <a:extLst>
            <a:ext uri="{FF2B5EF4-FFF2-40B4-BE49-F238E27FC236}">
              <a16:creationId xmlns:a16="http://schemas.microsoft.com/office/drawing/2014/main" id="{B5B56DB6-824E-1CF9-8CC1-DA0EE21AD685}"/>
            </a:ext>
          </a:extLst>
        </xdr:cNvPr>
        <xdr:cNvSpPr txBox="1"/>
      </xdr:nvSpPr>
      <xdr:spPr>
        <a:xfrm>
          <a:off x="7038975" y="800100"/>
          <a:ext cx="17621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Regional Performance</a:t>
          </a:r>
          <a:endParaRPr lang="en-NG" sz="1100" b="1">
            <a:solidFill>
              <a:srgbClr val="235733"/>
            </a:solidFill>
            <a:latin typeface="Aptos" panose="020B0004020202020204" pitchFamily="34" charset="0"/>
          </a:endParaRPr>
        </a:p>
      </xdr:txBody>
    </xdr:sp>
    <xdr:clientData/>
  </xdr:twoCellAnchor>
  <xdr:twoCellAnchor>
    <xdr:from>
      <xdr:col>19</xdr:col>
      <xdr:colOff>228600</xdr:colOff>
      <xdr:row>4</xdr:row>
      <xdr:rowOff>123825</xdr:rowOff>
    </xdr:from>
    <xdr:to>
      <xdr:col>22</xdr:col>
      <xdr:colOff>161925</xdr:colOff>
      <xdr:row>6</xdr:row>
      <xdr:rowOff>0</xdr:rowOff>
    </xdr:to>
    <xdr:sp macro="" textlink="">
      <xdr:nvSpPr>
        <xdr:cNvPr id="17" name="TextBox 16">
          <a:extLst>
            <a:ext uri="{FF2B5EF4-FFF2-40B4-BE49-F238E27FC236}">
              <a16:creationId xmlns:a16="http://schemas.microsoft.com/office/drawing/2014/main" id="{E2208526-C439-F0EB-1BF4-91C4BE63B0F8}"/>
            </a:ext>
          </a:extLst>
        </xdr:cNvPr>
        <xdr:cNvSpPr txBox="1"/>
      </xdr:nvSpPr>
      <xdr:spPr>
        <a:xfrm>
          <a:off x="11811000" y="847725"/>
          <a:ext cx="17621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Top  6 Ship Cities</a:t>
          </a:r>
          <a:endParaRPr lang="en-NG" sz="1100" b="1">
            <a:solidFill>
              <a:srgbClr val="235733"/>
            </a:solidFill>
            <a:latin typeface="Aptos" panose="020B0004020202020204" pitchFamily="34" charset="0"/>
          </a:endParaRPr>
        </a:p>
      </xdr:txBody>
    </xdr:sp>
    <xdr:clientData/>
  </xdr:twoCellAnchor>
  <xdr:twoCellAnchor>
    <xdr:from>
      <xdr:col>12</xdr:col>
      <xdr:colOff>171450</xdr:colOff>
      <xdr:row>17</xdr:row>
      <xdr:rowOff>82259</xdr:rowOff>
    </xdr:from>
    <xdr:to>
      <xdr:col>19</xdr:col>
      <xdr:colOff>76200</xdr:colOff>
      <xdr:row>28</xdr:row>
      <xdr:rowOff>26670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55E7A35A-04A6-49FD-8D8C-A0B3190501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86650" y="3191219"/>
              <a:ext cx="4171950" cy="195609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57150</xdr:colOff>
      <xdr:row>16</xdr:row>
      <xdr:rowOff>9526</xdr:rowOff>
    </xdr:from>
    <xdr:to>
      <xdr:col>16</xdr:col>
      <xdr:colOff>0</xdr:colOff>
      <xdr:row>17</xdr:row>
      <xdr:rowOff>57151</xdr:rowOff>
    </xdr:to>
    <xdr:sp macro="" textlink="">
      <xdr:nvSpPr>
        <xdr:cNvPr id="19" name="TextBox 18">
          <a:extLst>
            <a:ext uri="{FF2B5EF4-FFF2-40B4-BE49-F238E27FC236}">
              <a16:creationId xmlns:a16="http://schemas.microsoft.com/office/drawing/2014/main" id="{5CC9D5E8-136F-952A-12F5-F7A870EB7E9F}"/>
            </a:ext>
          </a:extLst>
        </xdr:cNvPr>
        <xdr:cNvSpPr txBox="1"/>
      </xdr:nvSpPr>
      <xdr:spPr>
        <a:xfrm>
          <a:off x="7372350" y="2905126"/>
          <a:ext cx="23812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Product Category By Revenue</a:t>
          </a:r>
          <a:endParaRPr lang="en-NG" sz="1100" b="1">
            <a:solidFill>
              <a:srgbClr val="235733"/>
            </a:solidFill>
            <a:latin typeface="Aptos" panose="020B0004020202020204" pitchFamily="34" charset="0"/>
          </a:endParaRPr>
        </a:p>
      </xdr:txBody>
    </xdr:sp>
    <xdr:clientData/>
  </xdr:twoCellAnchor>
  <xdr:twoCellAnchor>
    <xdr:from>
      <xdr:col>4</xdr:col>
      <xdr:colOff>342900</xdr:colOff>
      <xdr:row>17</xdr:row>
      <xdr:rowOff>57149</xdr:rowOff>
    </xdr:from>
    <xdr:to>
      <xdr:col>11</xdr:col>
      <xdr:colOff>342900</xdr:colOff>
      <xdr:row>27</xdr:row>
      <xdr:rowOff>154304</xdr:rowOff>
    </xdr:to>
    <xdr:graphicFrame macro="">
      <xdr:nvGraphicFramePr>
        <xdr:cNvPr id="20" name="Chart 19">
          <a:extLst>
            <a:ext uri="{FF2B5EF4-FFF2-40B4-BE49-F238E27FC236}">
              <a16:creationId xmlns:a16="http://schemas.microsoft.com/office/drawing/2014/main" id="{A8FDF278-0DD4-472F-8379-3BF147271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16</xdr:row>
      <xdr:rowOff>9526</xdr:rowOff>
    </xdr:from>
    <xdr:to>
      <xdr:col>8</xdr:col>
      <xdr:colOff>323850</xdr:colOff>
      <xdr:row>17</xdr:row>
      <xdr:rowOff>57151</xdr:rowOff>
    </xdr:to>
    <xdr:sp macro="" textlink="">
      <xdr:nvSpPr>
        <xdr:cNvPr id="21" name="TextBox 20">
          <a:extLst>
            <a:ext uri="{FF2B5EF4-FFF2-40B4-BE49-F238E27FC236}">
              <a16:creationId xmlns:a16="http://schemas.microsoft.com/office/drawing/2014/main" id="{CE70C041-9F3A-758A-BB25-3A2D295DF420}"/>
            </a:ext>
          </a:extLst>
        </xdr:cNvPr>
        <xdr:cNvSpPr txBox="1"/>
      </xdr:nvSpPr>
      <xdr:spPr>
        <a:xfrm>
          <a:off x="2819400" y="2905126"/>
          <a:ext cx="23812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rgbClr val="235733"/>
              </a:solidFill>
              <a:effectLst/>
              <a:latin typeface="Aptos" panose="020B0004020202020204" pitchFamily="34" charset="0"/>
              <a:ea typeface="+mn-ea"/>
              <a:cs typeface="+mn-cs"/>
            </a:rPr>
            <a:t>Sales By Salesperson</a:t>
          </a:r>
          <a:endParaRPr lang="en-NG">
            <a:solidFill>
              <a:srgbClr val="235733"/>
            </a:solidFill>
            <a:effectLst/>
            <a:latin typeface="Aptos" panose="020B0004020202020204" pitchFamily="34" charset="0"/>
          </a:endParaRPr>
        </a:p>
      </xdr:txBody>
    </xdr:sp>
    <xdr:clientData/>
  </xdr:twoCellAnchor>
  <xdr:twoCellAnchor>
    <xdr:from>
      <xdr:col>19</xdr:col>
      <xdr:colOff>361950</xdr:colOff>
      <xdr:row>17</xdr:row>
      <xdr:rowOff>59055</xdr:rowOff>
    </xdr:from>
    <xdr:to>
      <xdr:col>26</xdr:col>
      <xdr:colOff>495300</xdr:colOff>
      <xdr:row>27</xdr:row>
      <xdr:rowOff>133350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6F92D3A0-FAFB-4CC0-9491-5777CA149C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944350" y="3168015"/>
              <a:ext cx="4400550" cy="190309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476250</xdr:colOff>
      <xdr:row>16</xdr:row>
      <xdr:rowOff>28576</xdr:rowOff>
    </xdr:from>
    <xdr:to>
      <xdr:col>23</xdr:col>
      <xdr:colOff>419100</xdr:colOff>
      <xdr:row>17</xdr:row>
      <xdr:rowOff>76201</xdr:rowOff>
    </xdr:to>
    <xdr:sp macro="" textlink="">
      <xdr:nvSpPr>
        <xdr:cNvPr id="23" name="TextBox 22">
          <a:extLst>
            <a:ext uri="{FF2B5EF4-FFF2-40B4-BE49-F238E27FC236}">
              <a16:creationId xmlns:a16="http://schemas.microsoft.com/office/drawing/2014/main" id="{CFEEDA41-9971-49C2-FCD7-0196037C2EB8}"/>
            </a:ext>
          </a:extLst>
        </xdr:cNvPr>
        <xdr:cNvSpPr txBox="1"/>
      </xdr:nvSpPr>
      <xdr:spPr>
        <a:xfrm>
          <a:off x="12058650" y="2924176"/>
          <a:ext cx="23812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City</a:t>
          </a:r>
          <a:r>
            <a:rPr lang="en-US" sz="1100" b="1" baseline="0">
              <a:solidFill>
                <a:srgbClr val="235733"/>
              </a:solidFill>
              <a:latin typeface="Aptos" panose="020B0004020202020204" pitchFamily="34" charset="0"/>
            </a:rPr>
            <a:t> By Revenue</a:t>
          </a:r>
          <a:endParaRPr lang="en-NG" sz="1100" b="1">
            <a:solidFill>
              <a:srgbClr val="235733"/>
            </a:solidFill>
            <a:latin typeface="Aptos" panose="020B0004020202020204" pitchFamily="34" charset="0"/>
          </a:endParaRPr>
        </a:p>
      </xdr:txBody>
    </xdr:sp>
    <xdr:clientData/>
  </xdr:twoCellAnchor>
  <xdr:twoCellAnchor>
    <xdr:from>
      <xdr:col>11</xdr:col>
      <xdr:colOff>542924</xdr:colOff>
      <xdr:row>30</xdr:row>
      <xdr:rowOff>95250</xdr:rowOff>
    </xdr:from>
    <xdr:to>
      <xdr:col>26</xdr:col>
      <xdr:colOff>304799</xdr:colOff>
      <xdr:row>40</xdr:row>
      <xdr:rowOff>76199</xdr:rowOff>
    </xdr:to>
    <xdr:graphicFrame macro="">
      <xdr:nvGraphicFramePr>
        <xdr:cNvPr id="24" name="Chart 23">
          <a:extLst>
            <a:ext uri="{FF2B5EF4-FFF2-40B4-BE49-F238E27FC236}">
              <a16:creationId xmlns:a16="http://schemas.microsoft.com/office/drawing/2014/main" id="{E9F8C19D-204A-4427-A501-C6EEDEB71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323850</xdr:colOff>
      <xdr:row>29</xdr:row>
      <xdr:rowOff>57151</xdr:rowOff>
    </xdr:from>
    <xdr:to>
      <xdr:col>15</xdr:col>
      <xdr:colOff>266700</xdr:colOff>
      <xdr:row>30</xdr:row>
      <xdr:rowOff>104776</xdr:rowOff>
    </xdr:to>
    <xdr:sp macro="" textlink="">
      <xdr:nvSpPr>
        <xdr:cNvPr id="25" name="TextBox 24">
          <a:extLst>
            <a:ext uri="{FF2B5EF4-FFF2-40B4-BE49-F238E27FC236}">
              <a16:creationId xmlns:a16="http://schemas.microsoft.com/office/drawing/2014/main" id="{B7443436-54E6-36C5-AE1D-2BBDCF8E19CA}"/>
            </a:ext>
          </a:extLst>
        </xdr:cNvPr>
        <xdr:cNvSpPr txBox="1"/>
      </xdr:nvSpPr>
      <xdr:spPr>
        <a:xfrm>
          <a:off x="7029450" y="5305426"/>
          <a:ext cx="23812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Sales</a:t>
          </a:r>
          <a:r>
            <a:rPr lang="en-US" sz="1100" b="1" baseline="0">
              <a:solidFill>
                <a:srgbClr val="235733"/>
              </a:solidFill>
              <a:latin typeface="Aptos" panose="020B0004020202020204" pitchFamily="34" charset="0"/>
            </a:rPr>
            <a:t> Trend</a:t>
          </a:r>
        </a:p>
      </xdr:txBody>
    </xdr:sp>
    <xdr:clientData/>
  </xdr:twoCellAnchor>
  <xdr:twoCellAnchor>
    <xdr:from>
      <xdr:col>4</xdr:col>
      <xdr:colOff>419099</xdr:colOff>
      <xdr:row>30</xdr:row>
      <xdr:rowOff>9525</xdr:rowOff>
    </xdr:from>
    <xdr:to>
      <xdr:col>10</xdr:col>
      <xdr:colOff>600074</xdr:colOff>
      <xdr:row>39</xdr:row>
      <xdr:rowOff>158115</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D707BC2B-7162-42CF-A528-21CE4556EF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57499" y="5495925"/>
              <a:ext cx="3838575" cy="179451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371475</xdr:colOff>
      <xdr:row>29</xdr:row>
      <xdr:rowOff>19051</xdr:rowOff>
    </xdr:from>
    <xdr:to>
      <xdr:col>8</xdr:col>
      <xdr:colOff>314325</xdr:colOff>
      <xdr:row>30</xdr:row>
      <xdr:rowOff>66676</xdr:rowOff>
    </xdr:to>
    <xdr:sp macro="" textlink="">
      <xdr:nvSpPr>
        <xdr:cNvPr id="27" name="TextBox 26">
          <a:extLst>
            <a:ext uri="{FF2B5EF4-FFF2-40B4-BE49-F238E27FC236}">
              <a16:creationId xmlns:a16="http://schemas.microsoft.com/office/drawing/2014/main" id="{6E3C6B72-DE44-CE9D-EE39-8E63D3B7F040}"/>
            </a:ext>
          </a:extLst>
        </xdr:cNvPr>
        <xdr:cNvSpPr txBox="1"/>
      </xdr:nvSpPr>
      <xdr:spPr>
        <a:xfrm>
          <a:off x="2809875" y="5267326"/>
          <a:ext cx="23812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rgbClr val="235733"/>
              </a:solidFill>
              <a:effectLst/>
              <a:latin typeface="Aptos" panose="020B0004020202020204" pitchFamily="34" charset="0"/>
              <a:ea typeface="+mn-ea"/>
              <a:cs typeface="+mn-cs"/>
            </a:rPr>
            <a:t>Ship Cities Performance</a:t>
          </a:r>
          <a:endParaRPr lang="en-NG">
            <a:solidFill>
              <a:srgbClr val="235733"/>
            </a:solidFill>
            <a:effectLst/>
            <a:latin typeface="Aptos" panose="020B0004020202020204" pitchFamily="34" charset="0"/>
          </a:endParaRPr>
        </a:p>
      </xdr:txBody>
    </xdr:sp>
    <xdr:clientData/>
  </xdr:twoCellAnchor>
  <xdr:twoCellAnchor>
    <xdr:from>
      <xdr:col>4</xdr:col>
      <xdr:colOff>409576</xdr:colOff>
      <xdr:row>4</xdr:row>
      <xdr:rowOff>114301</xdr:rowOff>
    </xdr:from>
    <xdr:to>
      <xdr:col>6</xdr:col>
      <xdr:colOff>600075</xdr:colOff>
      <xdr:row>9</xdr:row>
      <xdr:rowOff>19106</xdr:rowOff>
    </xdr:to>
    <xdr:sp macro="" textlink="">
      <xdr:nvSpPr>
        <xdr:cNvPr id="28" name="Oval 27">
          <a:extLst>
            <a:ext uri="{FF2B5EF4-FFF2-40B4-BE49-F238E27FC236}">
              <a16:creationId xmlns:a16="http://schemas.microsoft.com/office/drawing/2014/main" id="{98030788-A63D-4471-BBF9-93994D44707B}"/>
            </a:ext>
          </a:extLst>
        </xdr:cNvPr>
        <xdr:cNvSpPr/>
      </xdr:nvSpPr>
      <xdr:spPr>
        <a:xfrm>
          <a:off x="2847976" y="838201"/>
          <a:ext cx="1409699" cy="809680"/>
        </a:xfrm>
        <a:prstGeom prst="ellipse">
          <a:avLst/>
        </a:prstGeom>
        <a:solidFill>
          <a:srgbClr val="00FF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361951</xdr:colOff>
      <xdr:row>5</xdr:row>
      <xdr:rowOff>123825</xdr:rowOff>
    </xdr:from>
    <xdr:to>
      <xdr:col>7</xdr:col>
      <xdr:colOff>104775</xdr:colOff>
      <xdr:row>6</xdr:row>
      <xdr:rowOff>171450</xdr:rowOff>
    </xdr:to>
    <xdr:sp macro="" textlink="">
      <xdr:nvSpPr>
        <xdr:cNvPr id="33" name="TextBox 32">
          <a:extLst>
            <a:ext uri="{FF2B5EF4-FFF2-40B4-BE49-F238E27FC236}">
              <a16:creationId xmlns:a16="http://schemas.microsoft.com/office/drawing/2014/main" id="{2EA3397C-1957-B3A0-12A1-CA87BCFAD00F}"/>
            </a:ext>
          </a:extLst>
        </xdr:cNvPr>
        <xdr:cNvSpPr txBox="1"/>
      </xdr:nvSpPr>
      <xdr:spPr>
        <a:xfrm>
          <a:off x="2800351" y="1028700"/>
          <a:ext cx="157162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Customer Of the Year</a:t>
          </a:r>
          <a:endParaRPr lang="en-NG" sz="1100" b="0">
            <a:solidFill>
              <a:srgbClr val="235733"/>
            </a:solidFill>
            <a:latin typeface="Aptos" panose="020B0004020202020204" pitchFamily="34" charset="0"/>
          </a:endParaRPr>
        </a:p>
      </xdr:txBody>
    </xdr:sp>
    <xdr:clientData/>
  </xdr:twoCellAnchor>
  <xdr:twoCellAnchor>
    <xdr:from>
      <xdr:col>4</xdr:col>
      <xdr:colOff>533399</xdr:colOff>
      <xdr:row>6</xdr:row>
      <xdr:rowOff>95250</xdr:rowOff>
    </xdr:from>
    <xdr:to>
      <xdr:col>6</xdr:col>
      <xdr:colOff>571500</xdr:colOff>
      <xdr:row>8</xdr:row>
      <xdr:rowOff>30250</xdr:rowOff>
    </xdr:to>
    <xdr:sp macro="" textlink="">
      <xdr:nvSpPr>
        <xdr:cNvPr id="34" name="TextBox 33">
          <a:extLst>
            <a:ext uri="{FF2B5EF4-FFF2-40B4-BE49-F238E27FC236}">
              <a16:creationId xmlns:a16="http://schemas.microsoft.com/office/drawing/2014/main" id="{A9505F07-8E68-5BFC-820E-0CD6DBF4E00E}"/>
            </a:ext>
          </a:extLst>
        </xdr:cNvPr>
        <xdr:cNvSpPr txBox="1"/>
      </xdr:nvSpPr>
      <xdr:spPr>
        <a:xfrm>
          <a:off x="2971799" y="1181100"/>
          <a:ext cx="1257301" cy="296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Company D</a:t>
          </a:r>
          <a:endParaRPr lang="en-NG" sz="1400" b="1">
            <a:solidFill>
              <a:srgbClr val="235733"/>
            </a:solidFill>
            <a:latin typeface="Aptos" panose="020B0004020202020204" pitchFamily="34" charset="0"/>
          </a:endParaRPr>
        </a:p>
      </xdr:txBody>
    </xdr:sp>
    <xdr:clientData/>
  </xdr:twoCellAnchor>
  <xdr:twoCellAnchor>
    <xdr:from>
      <xdr:col>5</xdr:col>
      <xdr:colOff>295276</xdr:colOff>
      <xdr:row>9</xdr:row>
      <xdr:rowOff>104776</xdr:rowOff>
    </xdr:from>
    <xdr:to>
      <xdr:col>7</xdr:col>
      <xdr:colOff>485775</xdr:colOff>
      <xdr:row>14</xdr:row>
      <xdr:rowOff>9581</xdr:rowOff>
    </xdr:to>
    <xdr:sp macro="" textlink="">
      <xdr:nvSpPr>
        <xdr:cNvPr id="38" name="Oval 37">
          <a:extLst>
            <a:ext uri="{FF2B5EF4-FFF2-40B4-BE49-F238E27FC236}">
              <a16:creationId xmlns:a16="http://schemas.microsoft.com/office/drawing/2014/main" id="{B1244BA7-DC9B-B85B-4642-87A62C5FF902}"/>
            </a:ext>
          </a:extLst>
        </xdr:cNvPr>
        <xdr:cNvSpPr/>
      </xdr:nvSpPr>
      <xdr:spPr>
        <a:xfrm>
          <a:off x="3343276" y="1733551"/>
          <a:ext cx="1409699" cy="809680"/>
        </a:xfrm>
        <a:prstGeom prst="ellipse">
          <a:avLst/>
        </a:prstGeom>
        <a:solidFill>
          <a:srgbClr val="FF33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381001</xdr:colOff>
      <xdr:row>10</xdr:row>
      <xdr:rowOff>142875</xdr:rowOff>
    </xdr:from>
    <xdr:to>
      <xdr:col>8</xdr:col>
      <xdr:colOff>123825</xdr:colOff>
      <xdr:row>12</xdr:row>
      <xdr:rowOff>9525</xdr:rowOff>
    </xdr:to>
    <xdr:sp macro="" textlink="">
      <xdr:nvSpPr>
        <xdr:cNvPr id="39" name="TextBox 38">
          <a:extLst>
            <a:ext uri="{FF2B5EF4-FFF2-40B4-BE49-F238E27FC236}">
              <a16:creationId xmlns:a16="http://schemas.microsoft.com/office/drawing/2014/main" id="{4E30AAF6-41F5-C07F-5342-16690E3BDAB1}"/>
            </a:ext>
          </a:extLst>
        </xdr:cNvPr>
        <xdr:cNvSpPr txBox="1"/>
      </xdr:nvSpPr>
      <xdr:spPr>
        <a:xfrm>
          <a:off x="3429001" y="1952625"/>
          <a:ext cx="157162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Top Growing State</a:t>
          </a:r>
          <a:endParaRPr lang="en-NG" sz="1100" b="0">
            <a:solidFill>
              <a:srgbClr val="235733"/>
            </a:solidFill>
            <a:latin typeface="Aptos" panose="020B0004020202020204" pitchFamily="34" charset="0"/>
          </a:endParaRPr>
        </a:p>
      </xdr:txBody>
    </xdr:sp>
    <xdr:clientData/>
  </xdr:twoCellAnchor>
  <xdr:twoCellAnchor>
    <xdr:from>
      <xdr:col>5</xdr:col>
      <xdr:colOff>523874</xdr:colOff>
      <xdr:row>11</xdr:row>
      <xdr:rowOff>114300</xdr:rowOff>
    </xdr:from>
    <xdr:to>
      <xdr:col>7</xdr:col>
      <xdr:colOff>561975</xdr:colOff>
      <xdr:row>13</xdr:row>
      <xdr:rowOff>49300</xdr:rowOff>
    </xdr:to>
    <xdr:sp macro="" textlink="">
      <xdr:nvSpPr>
        <xdr:cNvPr id="40" name="TextBox 39">
          <a:extLst>
            <a:ext uri="{FF2B5EF4-FFF2-40B4-BE49-F238E27FC236}">
              <a16:creationId xmlns:a16="http://schemas.microsoft.com/office/drawing/2014/main" id="{A4B5C197-6A4E-819A-7872-45C5D80C5F30}"/>
            </a:ext>
          </a:extLst>
        </xdr:cNvPr>
        <xdr:cNvSpPr txBox="1"/>
      </xdr:nvSpPr>
      <xdr:spPr>
        <a:xfrm>
          <a:off x="3571874" y="2105025"/>
          <a:ext cx="1257301" cy="296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New York</a:t>
          </a:r>
          <a:endParaRPr lang="en-NG" sz="1400" b="1">
            <a:solidFill>
              <a:srgbClr val="235733"/>
            </a:solidFill>
            <a:latin typeface="Aptos" panose="020B0004020202020204" pitchFamily="34" charset="0"/>
          </a:endParaRPr>
        </a:p>
      </xdr:txBody>
    </xdr:sp>
    <xdr:clientData/>
  </xdr:twoCellAnchor>
  <xdr:twoCellAnchor>
    <xdr:from>
      <xdr:col>7</xdr:col>
      <xdr:colOff>447676</xdr:colOff>
      <xdr:row>4</xdr:row>
      <xdr:rowOff>133351</xdr:rowOff>
    </xdr:from>
    <xdr:to>
      <xdr:col>10</xdr:col>
      <xdr:colOff>28575</xdr:colOff>
      <xdr:row>9</xdr:row>
      <xdr:rowOff>38156</xdr:rowOff>
    </xdr:to>
    <xdr:sp macro="" textlink="">
      <xdr:nvSpPr>
        <xdr:cNvPr id="41" name="Oval 40">
          <a:extLst>
            <a:ext uri="{FF2B5EF4-FFF2-40B4-BE49-F238E27FC236}">
              <a16:creationId xmlns:a16="http://schemas.microsoft.com/office/drawing/2014/main" id="{02066725-EACB-9FCE-F828-12A73B6A3FB6}"/>
            </a:ext>
          </a:extLst>
        </xdr:cNvPr>
        <xdr:cNvSpPr/>
      </xdr:nvSpPr>
      <xdr:spPr>
        <a:xfrm>
          <a:off x="4714876" y="857251"/>
          <a:ext cx="1409699" cy="809680"/>
        </a:xfrm>
        <a:prstGeom prst="ellipse">
          <a:avLst/>
        </a:prstGeom>
        <a:solidFill>
          <a:srgbClr val="FF99CC">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485776</xdr:colOff>
      <xdr:row>5</xdr:row>
      <xdr:rowOff>133350</xdr:rowOff>
    </xdr:from>
    <xdr:to>
      <xdr:col>10</xdr:col>
      <xdr:colOff>228600</xdr:colOff>
      <xdr:row>7</xdr:row>
      <xdr:rowOff>0</xdr:rowOff>
    </xdr:to>
    <xdr:sp macro="" textlink="">
      <xdr:nvSpPr>
        <xdr:cNvPr id="42" name="TextBox 41">
          <a:extLst>
            <a:ext uri="{FF2B5EF4-FFF2-40B4-BE49-F238E27FC236}">
              <a16:creationId xmlns:a16="http://schemas.microsoft.com/office/drawing/2014/main" id="{754AF1DC-87E4-482F-0D8E-7367E602F7DE}"/>
            </a:ext>
          </a:extLst>
        </xdr:cNvPr>
        <xdr:cNvSpPr txBox="1"/>
      </xdr:nvSpPr>
      <xdr:spPr>
        <a:xfrm>
          <a:off x="4752976" y="1038225"/>
          <a:ext cx="157162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Product Of the Year</a:t>
          </a:r>
          <a:endParaRPr lang="en-NG" sz="1100" b="0">
            <a:solidFill>
              <a:srgbClr val="235733"/>
            </a:solidFill>
            <a:latin typeface="Aptos" panose="020B0004020202020204" pitchFamily="34" charset="0"/>
          </a:endParaRPr>
        </a:p>
      </xdr:txBody>
    </xdr:sp>
    <xdr:clientData/>
  </xdr:twoCellAnchor>
  <xdr:twoCellAnchor>
    <xdr:from>
      <xdr:col>8</xdr:col>
      <xdr:colOff>19049</xdr:colOff>
      <xdr:row>6</xdr:row>
      <xdr:rowOff>95250</xdr:rowOff>
    </xdr:from>
    <xdr:to>
      <xdr:col>10</xdr:col>
      <xdr:colOff>57150</xdr:colOff>
      <xdr:row>8</xdr:row>
      <xdr:rowOff>30250</xdr:rowOff>
    </xdr:to>
    <xdr:sp macro="" textlink="">
      <xdr:nvSpPr>
        <xdr:cNvPr id="43" name="TextBox 42">
          <a:extLst>
            <a:ext uri="{FF2B5EF4-FFF2-40B4-BE49-F238E27FC236}">
              <a16:creationId xmlns:a16="http://schemas.microsoft.com/office/drawing/2014/main" id="{E67A9EDF-A72D-5A4B-EDD0-5BE26ACD8E46}"/>
            </a:ext>
          </a:extLst>
        </xdr:cNvPr>
        <xdr:cNvSpPr txBox="1"/>
      </xdr:nvSpPr>
      <xdr:spPr>
        <a:xfrm>
          <a:off x="4895849" y="1181100"/>
          <a:ext cx="1257301" cy="296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Beverages</a:t>
          </a:r>
          <a:endParaRPr lang="en-NG" sz="1400" b="1">
            <a:solidFill>
              <a:srgbClr val="235733"/>
            </a:solidFill>
            <a:latin typeface="Aptos" panose="020B0004020202020204" pitchFamily="34" charset="0"/>
          </a:endParaRPr>
        </a:p>
      </xdr:txBody>
    </xdr:sp>
    <xdr:clientData/>
  </xdr:twoCellAnchor>
  <xdr:twoCellAnchor>
    <xdr:from>
      <xdr:col>8</xdr:col>
      <xdr:colOff>390526</xdr:colOff>
      <xdr:row>9</xdr:row>
      <xdr:rowOff>133351</xdr:rowOff>
    </xdr:from>
    <xdr:to>
      <xdr:col>10</xdr:col>
      <xdr:colOff>581025</xdr:colOff>
      <xdr:row>14</xdr:row>
      <xdr:rowOff>38156</xdr:rowOff>
    </xdr:to>
    <xdr:sp macro="" textlink="">
      <xdr:nvSpPr>
        <xdr:cNvPr id="47" name="Oval 46">
          <a:extLst>
            <a:ext uri="{FF2B5EF4-FFF2-40B4-BE49-F238E27FC236}">
              <a16:creationId xmlns:a16="http://schemas.microsoft.com/office/drawing/2014/main" id="{0D437320-1937-398B-F127-56B82D072DD6}"/>
            </a:ext>
          </a:extLst>
        </xdr:cNvPr>
        <xdr:cNvSpPr/>
      </xdr:nvSpPr>
      <xdr:spPr>
        <a:xfrm>
          <a:off x="5267326" y="1762126"/>
          <a:ext cx="1409699" cy="809680"/>
        </a:xfrm>
        <a:prstGeom prst="ellipse">
          <a:avLst/>
        </a:prstGeom>
        <a:solidFill>
          <a:srgbClr val="CC0066">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457201</xdr:colOff>
      <xdr:row>10</xdr:row>
      <xdr:rowOff>142875</xdr:rowOff>
    </xdr:from>
    <xdr:to>
      <xdr:col>11</xdr:col>
      <xdr:colOff>200025</xdr:colOff>
      <xdr:row>12</xdr:row>
      <xdr:rowOff>9525</xdr:rowOff>
    </xdr:to>
    <xdr:sp macro="" textlink="">
      <xdr:nvSpPr>
        <xdr:cNvPr id="48" name="TextBox 47">
          <a:extLst>
            <a:ext uri="{FF2B5EF4-FFF2-40B4-BE49-F238E27FC236}">
              <a16:creationId xmlns:a16="http://schemas.microsoft.com/office/drawing/2014/main" id="{84DA1719-8373-4842-315F-CDDEFA8277D1}"/>
            </a:ext>
          </a:extLst>
        </xdr:cNvPr>
        <xdr:cNvSpPr txBox="1"/>
      </xdr:nvSpPr>
      <xdr:spPr>
        <a:xfrm>
          <a:off x="5334001" y="1952625"/>
          <a:ext cx="157162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Best</a:t>
          </a:r>
          <a:r>
            <a:rPr lang="en-US" sz="1100" b="0" baseline="0">
              <a:solidFill>
                <a:srgbClr val="235733"/>
              </a:solidFill>
              <a:latin typeface="Aptos" panose="020B0004020202020204" pitchFamily="34" charset="0"/>
            </a:rPr>
            <a:t> Region By Rev.</a:t>
          </a:r>
          <a:endParaRPr lang="en-NG" sz="1100" b="0">
            <a:solidFill>
              <a:srgbClr val="235733"/>
            </a:solidFill>
            <a:latin typeface="Aptos" panose="020B0004020202020204" pitchFamily="34" charset="0"/>
          </a:endParaRPr>
        </a:p>
      </xdr:txBody>
    </xdr:sp>
    <xdr:clientData/>
  </xdr:twoCellAnchor>
  <xdr:twoCellAnchor>
    <xdr:from>
      <xdr:col>9</xdr:col>
      <xdr:colOff>161924</xdr:colOff>
      <xdr:row>11</xdr:row>
      <xdr:rowOff>104775</xdr:rowOff>
    </xdr:from>
    <xdr:to>
      <xdr:col>11</xdr:col>
      <xdr:colOff>200025</xdr:colOff>
      <xdr:row>13</xdr:row>
      <xdr:rowOff>39775</xdr:rowOff>
    </xdr:to>
    <xdr:sp macro="" textlink="">
      <xdr:nvSpPr>
        <xdr:cNvPr id="49" name="TextBox 48">
          <a:extLst>
            <a:ext uri="{FF2B5EF4-FFF2-40B4-BE49-F238E27FC236}">
              <a16:creationId xmlns:a16="http://schemas.microsoft.com/office/drawing/2014/main" id="{A34DD962-9BDF-ADD7-3F8C-54AB13E4BBE2}"/>
            </a:ext>
          </a:extLst>
        </xdr:cNvPr>
        <xdr:cNvSpPr txBox="1"/>
      </xdr:nvSpPr>
      <xdr:spPr>
        <a:xfrm>
          <a:off x="5648324" y="2095500"/>
          <a:ext cx="1257301" cy="296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North</a:t>
          </a:r>
          <a:endParaRPr lang="en-NG" sz="1400" b="1">
            <a:solidFill>
              <a:srgbClr val="235733"/>
            </a:solidFill>
            <a:latin typeface="Aptos" panose="020B0004020202020204" pitchFamily="34" charset="0"/>
          </a:endParaRPr>
        </a:p>
      </xdr:txBody>
    </xdr:sp>
    <xdr:clientData/>
  </xdr:twoCellAnchor>
  <xdr:twoCellAnchor editAs="oneCell">
    <xdr:from>
      <xdr:col>0</xdr:col>
      <xdr:colOff>342900</xdr:colOff>
      <xdr:row>1</xdr:row>
      <xdr:rowOff>76200</xdr:rowOff>
    </xdr:from>
    <xdr:to>
      <xdr:col>1</xdr:col>
      <xdr:colOff>419100</xdr:colOff>
      <xdr:row>5</xdr:row>
      <xdr:rowOff>38100</xdr:rowOff>
    </xdr:to>
    <xdr:pic>
      <xdr:nvPicPr>
        <xdr:cNvPr id="50" name="Picture 49">
          <a:extLst>
            <a:ext uri="{FF2B5EF4-FFF2-40B4-BE49-F238E27FC236}">
              <a16:creationId xmlns:a16="http://schemas.microsoft.com/office/drawing/2014/main" id="{84A65D7A-6F3E-4DAF-88A1-D7DF4EF1E02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342900" y="257175"/>
          <a:ext cx="685800" cy="685800"/>
        </a:xfrm>
        <a:prstGeom prst="rect">
          <a:avLst/>
        </a:prstGeom>
      </xdr:spPr>
    </xdr:pic>
    <xdr:clientData/>
  </xdr:twoCellAnchor>
  <xdr:twoCellAnchor>
    <xdr:from>
      <xdr:col>1</xdr:col>
      <xdr:colOff>342899</xdr:colOff>
      <xdr:row>1</xdr:row>
      <xdr:rowOff>9526</xdr:rowOff>
    </xdr:from>
    <xdr:to>
      <xdr:col>4</xdr:col>
      <xdr:colOff>28574</xdr:colOff>
      <xdr:row>4</xdr:row>
      <xdr:rowOff>28575</xdr:rowOff>
    </xdr:to>
    <xdr:sp macro="" textlink="">
      <xdr:nvSpPr>
        <xdr:cNvPr id="51" name="TextBox 50">
          <a:extLst>
            <a:ext uri="{FF2B5EF4-FFF2-40B4-BE49-F238E27FC236}">
              <a16:creationId xmlns:a16="http://schemas.microsoft.com/office/drawing/2014/main" id="{DB27B668-8AD9-400B-BF1D-BE33F357F62F}"/>
            </a:ext>
          </a:extLst>
        </xdr:cNvPr>
        <xdr:cNvSpPr txBox="1"/>
      </xdr:nvSpPr>
      <xdr:spPr>
        <a:xfrm>
          <a:off x="952499" y="190501"/>
          <a:ext cx="151447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bg1"/>
              </a:solidFill>
              <a:latin typeface="Aptos" panose="020B0004020202020204" pitchFamily="34" charset="0"/>
            </a:rPr>
            <a:t>Zubbiee's Superstores</a:t>
          </a:r>
          <a:endParaRPr lang="en-NG" sz="1400" b="1">
            <a:solidFill>
              <a:schemeClr val="bg1"/>
            </a:solidFill>
            <a:latin typeface="Aptos" panose="020B0004020202020204" pitchFamily="34" charset="0"/>
          </a:endParaRPr>
        </a:p>
      </xdr:txBody>
    </xdr:sp>
    <xdr:clientData/>
  </xdr:twoCellAnchor>
  <xdr:twoCellAnchor>
    <xdr:from>
      <xdr:col>1</xdr:col>
      <xdr:colOff>523875</xdr:colOff>
      <xdr:row>3</xdr:row>
      <xdr:rowOff>142875</xdr:rowOff>
    </xdr:from>
    <xdr:to>
      <xdr:col>3</xdr:col>
      <xdr:colOff>390525</xdr:colOff>
      <xdr:row>5</xdr:row>
      <xdr:rowOff>9525</xdr:rowOff>
    </xdr:to>
    <xdr:sp macro="" textlink="">
      <xdr:nvSpPr>
        <xdr:cNvPr id="52" name="TextBox 51">
          <a:extLst>
            <a:ext uri="{FF2B5EF4-FFF2-40B4-BE49-F238E27FC236}">
              <a16:creationId xmlns:a16="http://schemas.microsoft.com/office/drawing/2014/main" id="{0884736C-102B-4611-93C4-96C996D48A24}"/>
            </a:ext>
          </a:extLst>
        </xdr:cNvPr>
        <xdr:cNvSpPr txBox="1"/>
      </xdr:nvSpPr>
      <xdr:spPr>
        <a:xfrm>
          <a:off x="1133475" y="685800"/>
          <a:ext cx="1085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entury Gothic" panose="020B0502020202020204" pitchFamily="34" charset="0"/>
            </a:rPr>
            <a:t>Data Team</a:t>
          </a:r>
          <a:endParaRPr lang="en-NG" sz="1100" b="0">
            <a:solidFill>
              <a:schemeClr val="bg1"/>
            </a:solidFill>
            <a:latin typeface="Century Gothic" panose="020B0502020202020204" pitchFamily="34" charset="0"/>
          </a:endParaRPr>
        </a:p>
      </xdr:txBody>
    </xdr:sp>
    <xdr:clientData/>
  </xdr:twoCellAnchor>
  <xdr:twoCellAnchor>
    <xdr:from>
      <xdr:col>0</xdr:col>
      <xdr:colOff>533400</xdr:colOff>
      <xdr:row>6</xdr:row>
      <xdr:rowOff>114300</xdr:rowOff>
    </xdr:from>
    <xdr:to>
      <xdr:col>3</xdr:col>
      <xdr:colOff>333376</xdr:colOff>
      <xdr:row>9</xdr:row>
      <xdr:rowOff>28575</xdr:rowOff>
    </xdr:to>
    <xdr:sp macro="" textlink="">
      <xdr:nvSpPr>
        <xdr:cNvPr id="53" name="Rectangle 52">
          <a:extLst>
            <a:ext uri="{FF2B5EF4-FFF2-40B4-BE49-F238E27FC236}">
              <a16:creationId xmlns:a16="http://schemas.microsoft.com/office/drawing/2014/main" id="{ECF21E0B-47B5-DD02-73A4-F0D53F15D9BB}"/>
            </a:ext>
          </a:extLst>
        </xdr:cNvPr>
        <xdr:cNvSpPr/>
      </xdr:nvSpPr>
      <xdr:spPr>
        <a:xfrm>
          <a:off x="533400" y="1200150"/>
          <a:ext cx="1628776" cy="457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266700</xdr:colOff>
      <xdr:row>7</xdr:row>
      <xdr:rowOff>28575</xdr:rowOff>
    </xdr:from>
    <xdr:to>
      <xdr:col>3</xdr:col>
      <xdr:colOff>238125</xdr:colOff>
      <xdr:row>8</xdr:row>
      <xdr:rowOff>66675</xdr:rowOff>
    </xdr:to>
    <xdr:sp macro="" textlink="">
      <xdr:nvSpPr>
        <xdr:cNvPr id="54" name="TextBox 53">
          <a:extLst>
            <a:ext uri="{FF2B5EF4-FFF2-40B4-BE49-F238E27FC236}">
              <a16:creationId xmlns:a16="http://schemas.microsoft.com/office/drawing/2014/main" id="{F4C6E7AA-8F78-B50B-A399-742254C37F50}"/>
            </a:ext>
          </a:extLst>
        </xdr:cNvPr>
        <xdr:cNvSpPr txBox="1"/>
      </xdr:nvSpPr>
      <xdr:spPr>
        <a:xfrm>
          <a:off x="876300" y="1295400"/>
          <a:ext cx="11906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235733"/>
              </a:solidFill>
              <a:latin typeface="Aptos" panose="020B0004020202020204" pitchFamily="34" charset="0"/>
            </a:rPr>
            <a:t>Dashboard</a:t>
          </a:r>
          <a:endParaRPr lang="en-NG" sz="1200">
            <a:solidFill>
              <a:srgbClr val="235733"/>
            </a:solidFill>
            <a:latin typeface="Aptos" panose="020B0004020202020204" pitchFamily="34" charset="0"/>
          </a:endParaRPr>
        </a:p>
      </xdr:txBody>
    </xdr:sp>
    <xdr:clientData/>
  </xdr:twoCellAnchor>
  <xdr:twoCellAnchor editAs="oneCell">
    <xdr:from>
      <xdr:col>0</xdr:col>
      <xdr:colOff>590551</xdr:colOff>
      <xdr:row>7</xdr:row>
      <xdr:rowOff>1</xdr:rowOff>
    </xdr:from>
    <xdr:to>
      <xdr:col>1</xdr:col>
      <xdr:colOff>342901</xdr:colOff>
      <xdr:row>9</xdr:row>
      <xdr:rowOff>1</xdr:rowOff>
    </xdr:to>
    <xdr:pic>
      <xdr:nvPicPr>
        <xdr:cNvPr id="55" name="Graphic 54" descr="Speech with solid fill">
          <a:extLst>
            <a:ext uri="{FF2B5EF4-FFF2-40B4-BE49-F238E27FC236}">
              <a16:creationId xmlns:a16="http://schemas.microsoft.com/office/drawing/2014/main" id="{DCF11A2D-9EAA-4E17-9655-A8E180FC9DB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0551" y="1266826"/>
          <a:ext cx="361950" cy="361950"/>
        </a:xfrm>
        <a:prstGeom prst="rect">
          <a:avLst/>
        </a:prstGeom>
      </xdr:spPr>
    </xdr:pic>
    <xdr:clientData/>
  </xdr:twoCellAnchor>
  <xdr:twoCellAnchor>
    <xdr:from>
      <xdr:col>1</xdr:col>
      <xdr:colOff>342900</xdr:colOff>
      <xdr:row>9</xdr:row>
      <xdr:rowOff>152400</xdr:rowOff>
    </xdr:from>
    <xdr:to>
      <xdr:col>3</xdr:col>
      <xdr:colOff>314325</xdr:colOff>
      <xdr:row>11</xdr:row>
      <xdr:rowOff>9525</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2E5F1435-67A1-AD2C-0A9B-C1CB803C393F}"/>
            </a:ext>
          </a:extLst>
        </xdr:cNvPr>
        <xdr:cNvSpPr txBox="1"/>
      </xdr:nvSpPr>
      <xdr:spPr>
        <a:xfrm>
          <a:off x="952500" y="1781175"/>
          <a:ext cx="11906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panose="020B0004020202020204" pitchFamily="34" charset="0"/>
            </a:rPr>
            <a:t>Insights</a:t>
          </a:r>
          <a:endParaRPr lang="en-NG" sz="1200">
            <a:solidFill>
              <a:schemeClr val="bg1"/>
            </a:solidFill>
            <a:latin typeface="Aptos" panose="020B0004020202020204" pitchFamily="34" charset="0"/>
          </a:endParaRPr>
        </a:p>
      </xdr:txBody>
    </xdr:sp>
    <xdr:clientData/>
  </xdr:twoCellAnchor>
  <xdr:twoCellAnchor editAs="oneCell">
    <xdr:from>
      <xdr:col>1</xdr:col>
      <xdr:colOff>19050</xdr:colOff>
      <xdr:row>9</xdr:row>
      <xdr:rowOff>123825</xdr:rowOff>
    </xdr:from>
    <xdr:to>
      <xdr:col>1</xdr:col>
      <xdr:colOff>382650</xdr:colOff>
      <xdr:row>11</xdr:row>
      <xdr:rowOff>125475</xdr:rowOff>
    </xdr:to>
    <xdr:pic>
      <xdr:nvPicPr>
        <xdr:cNvPr id="58" name="Graphic 57" descr="Research with solid fill">
          <a:extLst>
            <a:ext uri="{FF2B5EF4-FFF2-40B4-BE49-F238E27FC236}">
              <a16:creationId xmlns:a16="http://schemas.microsoft.com/office/drawing/2014/main" id="{09AC56AF-8159-16FA-2B54-B1409CC32E2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28650" y="1752600"/>
          <a:ext cx="363600" cy="363600"/>
        </a:xfrm>
        <a:prstGeom prst="rect">
          <a:avLst/>
        </a:prstGeom>
      </xdr:spPr>
    </xdr:pic>
    <xdr:clientData/>
  </xdr:twoCellAnchor>
  <xdr:twoCellAnchor>
    <xdr:from>
      <xdr:col>0</xdr:col>
      <xdr:colOff>476250</xdr:colOff>
      <xdr:row>12</xdr:row>
      <xdr:rowOff>123825</xdr:rowOff>
    </xdr:from>
    <xdr:to>
      <xdr:col>3</xdr:col>
      <xdr:colOff>361950</xdr:colOff>
      <xdr:row>12</xdr:row>
      <xdr:rowOff>123825</xdr:rowOff>
    </xdr:to>
    <xdr:cxnSp macro="">
      <xdr:nvCxnSpPr>
        <xdr:cNvPr id="60" name="Straight Connector 59">
          <a:extLst>
            <a:ext uri="{FF2B5EF4-FFF2-40B4-BE49-F238E27FC236}">
              <a16:creationId xmlns:a16="http://schemas.microsoft.com/office/drawing/2014/main" id="{F6236315-9D60-E94F-12D7-3ABB64DEE4A4}"/>
            </a:ext>
          </a:extLst>
        </xdr:cNvPr>
        <xdr:cNvCxnSpPr/>
      </xdr:nvCxnSpPr>
      <xdr:spPr>
        <a:xfrm>
          <a:off x="476250" y="2295525"/>
          <a:ext cx="17145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152400</xdr:colOff>
      <xdr:row>14</xdr:row>
      <xdr:rowOff>9525</xdr:rowOff>
    </xdr:from>
    <xdr:to>
      <xdr:col>3</xdr:col>
      <xdr:colOff>123825</xdr:colOff>
      <xdr:row>15</xdr:row>
      <xdr:rowOff>47625</xdr:rowOff>
    </xdr:to>
    <xdr:sp macro="" textlink="">
      <xdr:nvSpPr>
        <xdr:cNvPr id="61" name="TextBox 60">
          <a:hlinkClick xmlns:r="http://schemas.openxmlformats.org/officeDocument/2006/relationships" r:id="rId14"/>
          <a:extLst>
            <a:ext uri="{FF2B5EF4-FFF2-40B4-BE49-F238E27FC236}">
              <a16:creationId xmlns:a16="http://schemas.microsoft.com/office/drawing/2014/main" id="{FE60655A-441D-37A0-CD8D-B60E9E32140D}"/>
            </a:ext>
          </a:extLst>
        </xdr:cNvPr>
        <xdr:cNvSpPr txBox="1"/>
      </xdr:nvSpPr>
      <xdr:spPr>
        <a:xfrm>
          <a:off x="762000" y="2543175"/>
          <a:ext cx="11906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panose="020B0004020202020204" pitchFamily="34" charset="0"/>
            </a:rPr>
            <a:t>Pre analysis</a:t>
          </a:r>
          <a:endParaRPr lang="en-NG" sz="1200">
            <a:solidFill>
              <a:schemeClr val="bg1"/>
            </a:solidFill>
            <a:latin typeface="Aptos" panose="020B0004020202020204" pitchFamily="34" charset="0"/>
          </a:endParaRPr>
        </a:p>
      </xdr:txBody>
    </xdr:sp>
    <xdr:clientData/>
  </xdr:twoCellAnchor>
  <xdr:twoCellAnchor>
    <xdr:from>
      <xdr:col>1</xdr:col>
      <xdr:colOff>171450</xdr:colOff>
      <xdr:row>16</xdr:row>
      <xdr:rowOff>114300</xdr:rowOff>
    </xdr:from>
    <xdr:to>
      <xdr:col>3</xdr:col>
      <xdr:colOff>142875</xdr:colOff>
      <xdr:row>17</xdr:row>
      <xdr:rowOff>152400</xdr:rowOff>
    </xdr:to>
    <xdr:sp macro="" textlink="">
      <xdr:nvSpPr>
        <xdr:cNvPr id="62" name="TextBox 61">
          <a:hlinkClick xmlns:r="http://schemas.openxmlformats.org/officeDocument/2006/relationships" r:id="rId15"/>
          <a:extLst>
            <a:ext uri="{FF2B5EF4-FFF2-40B4-BE49-F238E27FC236}">
              <a16:creationId xmlns:a16="http://schemas.microsoft.com/office/drawing/2014/main" id="{A9C01888-0E8D-22EB-2DD9-2FB1F4DE3116}"/>
            </a:ext>
          </a:extLst>
        </xdr:cNvPr>
        <xdr:cNvSpPr txBox="1"/>
      </xdr:nvSpPr>
      <xdr:spPr>
        <a:xfrm>
          <a:off x="781050" y="3009900"/>
          <a:ext cx="11906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panose="020B0004020202020204" pitchFamily="34" charset="0"/>
            </a:rPr>
            <a:t>Post analysis</a:t>
          </a:r>
          <a:endParaRPr lang="en-NG" sz="1200">
            <a:solidFill>
              <a:schemeClr val="bg1"/>
            </a:solidFill>
            <a:latin typeface="Aptos" panose="020B0004020202020204" pitchFamily="34" charset="0"/>
          </a:endParaRPr>
        </a:p>
      </xdr:txBody>
    </xdr:sp>
    <xdr:clientData/>
  </xdr:twoCellAnchor>
  <xdr:twoCellAnchor editAs="oneCell">
    <xdr:from>
      <xdr:col>0</xdr:col>
      <xdr:colOff>371475</xdr:colOff>
      <xdr:row>19</xdr:row>
      <xdr:rowOff>152400</xdr:rowOff>
    </xdr:from>
    <xdr:to>
      <xdr:col>4</xdr:col>
      <xdr:colOff>0</xdr:colOff>
      <xdr:row>28</xdr:row>
      <xdr:rowOff>142875</xdr:rowOff>
    </xdr:to>
    <mc:AlternateContent xmlns:mc="http://schemas.openxmlformats.org/markup-compatibility/2006" xmlns:a14="http://schemas.microsoft.com/office/drawing/2010/main">
      <mc:Choice Requires="a14">
        <xdr:graphicFrame macro="">
          <xdr:nvGraphicFramePr>
            <xdr:cNvPr id="63" name="Salesperson 2">
              <a:extLst>
                <a:ext uri="{FF2B5EF4-FFF2-40B4-BE49-F238E27FC236}">
                  <a16:creationId xmlns:a16="http://schemas.microsoft.com/office/drawing/2014/main" id="{7F46B1EA-EB05-465F-8BD7-B954B806CC20}"/>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371475" y="3590925"/>
              <a:ext cx="2066925" cy="1619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381001</xdr:colOff>
      <xdr:row>31</xdr:row>
      <xdr:rowOff>19050</xdr:rowOff>
    </xdr:from>
    <xdr:to>
      <xdr:col>3</xdr:col>
      <xdr:colOff>571501</xdr:colOff>
      <xdr:row>38</xdr:row>
      <xdr:rowOff>95250</xdr:rowOff>
    </xdr:to>
    <mc:AlternateContent xmlns:mc="http://schemas.openxmlformats.org/markup-compatibility/2006" xmlns:a14="http://schemas.microsoft.com/office/drawing/2010/main">
      <mc:Choice Requires="a14">
        <xdr:graphicFrame macro="">
          <xdr:nvGraphicFramePr>
            <xdr:cNvPr id="64" name="Product Name 2">
              <a:extLst>
                <a:ext uri="{FF2B5EF4-FFF2-40B4-BE49-F238E27FC236}">
                  <a16:creationId xmlns:a16="http://schemas.microsoft.com/office/drawing/2014/main" id="{6B3255FE-2720-4461-8DE7-1AD84C2396B0}"/>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381001" y="5629275"/>
              <a:ext cx="2019300" cy="1343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438150</xdr:colOff>
      <xdr:row>18</xdr:row>
      <xdr:rowOff>152400</xdr:rowOff>
    </xdr:from>
    <xdr:to>
      <xdr:col>3</xdr:col>
      <xdr:colOff>323850</xdr:colOff>
      <xdr:row>18</xdr:row>
      <xdr:rowOff>152400</xdr:rowOff>
    </xdr:to>
    <xdr:cxnSp macro="">
      <xdr:nvCxnSpPr>
        <xdr:cNvPr id="65" name="Straight Connector 64">
          <a:extLst>
            <a:ext uri="{FF2B5EF4-FFF2-40B4-BE49-F238E27FC236}">
              <a16:creationId xmlns:a16="http://schemas.microsoft.com/office/drawing/2014/main" id="{0B13B7B7-FF14-B89F-CEE0-D229D01BD9DE}"/>
            </a:ext>
          </a:extLst>
        </xdr:cNvPr>
        <xdr:cNvCxnSpPr/>
      </xdr:nvCxnSpPr>
      <xdr:spPr>
        <a:xfrm>
          <a:off x="438150" y="3409950"/>
          <a:ext cx="17145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352425</xdr:colOff>
      <xdr:row>4</xdr:row>
      <xdr:rowOff>85724</xdr:rowOff>
    </xdr:from>
    <xdr:to>
      <xdr:col>19</xdr:col>
      <xdr:colOff>228601</xdr:colOff>
      <xdr:row>7</xdr:row>
      <xdr:rowOff>171450</xdr:rowOff>
    </xdr:to>
    <xdr:sp macro="" textlink="">
      <xdr:nvSpPr>
        <xdr:cNvPr id="66" name="TextBox 65">
          <a:extLst>
            <a:ext uri="{FF2B5EF4-FFF2-40B4-BE49-F238E27FC236}">
              <a16:creationId xmlns:a16="http://schemas.microsoft.com/office/drawing/2014/main" id="{9B3817E7-8023-7998-B7F1-650B89C7C592}"/>
            </a:ext>
          </a:extLst>
        </xdr:cNvPr>
        <xdr:cNvSpPr txBox="1"/>
      </xdr:nvSpPr>
      <xdr:spPr>
        <a:xfrm>
          <a:off x="10106025" y="809624"/>
          <a:ext cx="1704976"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North &amp; East = 58% of revenue. </a:t>
          </a:r>
        </a:p>
        <a:p>
          <a:r>
            <a:rPr lang="en-US" sz="900">
              <a:solidFill>
                <a:srgbClr val="235733"/>
              </a:solidFill>
              <a:latin typeface="Aptos" panose="020B0004020202020204" pitchFamily="34" charset="0"/>
            </a:rPr>
            <a:t>West lags — needs attention.</a:t>
          </a:r>
          <a:endParaRPr lang="en-NG" sz="900">
            <a:solidFill>
              <a:srgbClr val="235733"/>
            </a:solidFill>
            <a:latin typeface="Aptos" panose="020B0004020202020204" pitchFamily="34" charset="0"/>
          </a:endParaRPr>
        </a:p>
      </xdr:txBody>
    </xdr:sp>
    <xdr:clientData/>
  </xdr:twoCellAnchor>
  <xdr:twoCellAnchor>
    <xdr:from>
      <xdr:col>24</xdr:col>
      <xdr:colOff>123825</xdr:colOff>
      <xdr:row>4</xdr:row>
      <xdr:rowOff>57149</xdr:rowOff>
    </xdr:from>
    <xdr:to>
      <xdr:col>27</xdr:col>
      <xdr:colOff>47626</xdr:colOff>
      <xdr:row>7</xdr:row>
      <xdr:rowOff>142875</xdr:rowOff>
    </xdr:to>
    <xdr:sp macro="" textlink="">
      <xdr:nvSpPr>
        <xdr:cNvPr id="67" name="TextBox 66">
          <a:extLst>
            <a:ext uri="{FF2B5EF4-FFF2-40B4-BE49-F238E27FC236}">
              <a16:creationId xmlns:a16="http://schemas.microsoft.com/office/drawing/2014/main" id="{BC237E0B-D36F-ECEE-07B0-64188D59B621}"/>
            </a:ext>
          </a:extLst>
        </xdr:cNvPr>
        <xdr:cNvSpPr txBox="1"/>
      </xdr:nvSpPr>
      <xdr:spPr>
        <a:xfrm>
          <a:off x="14754225" y="781049"/>
          <a:ext cx="1752601"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NY leads at $67K. Replicate its approach in Portland &amp; Miami.</a:t>
          </a:r>
          <a:endParaRPr lang="en-NG" sz="900">
            <a:solidFill>
              <a:srgbClr val="235733"/>
            </a:solidFill>
            <a:latin typeface="Aptos" panose="020B0004020202020204" pitchFamily="34" charset="0"/>
          </a:endParaRPr>
        </a:p>
      </xdr:txBody>
    </xdr:sp>
    <xdr:clientData/>
  </xdr:twoCellAnchor>
  <xdr:twoCellAnchor>
    <xdr:from>
      <xdr:col>8</xdr:col>
      <xdr:colOff>485775</xdr:colOff>
      <xdr:row>15</xdr:row>
      <xdr:rowOff>171449</xdr:rowOff>
    </xdr:from>
    <xdr:to>
      <xdr:col>11</xdr:col>
      <xdr:colOff>533400</xdr:colOff>
      <xdr:row>19</xdr:row>
      <xdr:rowOff>76200</xdr:rowOff>
    </xdr:to>
    <xdr:sp macro="" textlink="">
      <xdr:nvSpPr>
        <xdr:cNvPr id="68" name="TextBox 67">
          <a:extLst>
            <a:ext uri="{FF2B5EF4-FFF2-40B4-BE49-F238E27FC236}">
              <a16:creationId xmlns:a16="http://schemas.microsoft.com/office/drawing/2014/main" id="{140088AE-CB8C-F74D-6A78-497A080D7134}"/>
            </a:ext>
          </a:extLst>
        </xdr:cNvPr>
        <xdr:cNvSpPr txBox="1"/>
      </xdr:nvSpPr>
      <xdr:spPr>
        <a:xfrm>
          <a:off x="5362575" y="2886074"/>
          <a:ext cx="1876425"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Nancy ($104K) vs. Jan ($16K) — 6x gap. Investigate why.</a:t>
          </a:r>
          <a:endParaRPr lang="en-NG" sz="900">
            <a:solidFill>
              <a:srgbClr val="235733"/>
            </a:solidFill>
            <a:latin typeface="Aptos" panose="020B0004020202020204" pitchFamily="34" charset="0"/>
          </a:endParaRPr>
        </a:p>
      </xdr:txBody>
    </xdr:sp>
    <xdr:clientData/>
  </xdr:twoCellAnchor>
  <xdr:twoCellAnchor>
    <xdr:from>
      <xdr:col>16</xdr:col>
      <xdr:colOff>180975</xdr:colOff>
      <xdr:row>15</xdr:row>
      <xdr:rowOff>161924</xdr:rowOff>
    </xdr:from>
    <xdr:to>
      <xdr:col>19</xdr:col>
      <xdr:colOff>476250</xdr:colOff>
      <xdr:row>19</xdr:row>
      <xdr:rowOff>66675</xdr:rowOff>
    </xdr:to>
    <xdr:sp macro="" textlink="">
      <xdr:nvSpPr>
        <xdr:cNvPr id="69" name="TextBox 68">
          <a:extLst>
            <a:ext uri="{FF2B5EF4-FFF2-40B4-BE49-F238E27FC236}">
              <a16:creationId xmlns:a16="http://schemas.microsoft.com/office/drawing/2014/main" id="{6BA6E914-3774-D2F6-27CE-A58E702A1488}"/>
            </a:ext>
          </a:extLst>
        </xdr:cNvPr>
        <xdr:cNvSpPr txBox="1"/>
      </xdr:nvSpPr>
      <xdr:spPr>
        <a:xfrm>
          <a:off x="9934575" y="2876549"/>
          <a:ext cx="2124075"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Beverages = top category ($110K). Canned Meat weakest — reassess.</a:t>
          </a:r>
          <a:endParaRPr lang="en-NG" sz="900">
            <a:solidFill>
              <a:srgbClr val="235733"/>
            </a:solidFill>
            <a:latin typeface="Aptos" panose="020B0004020202020204" pitchFamily="34" charset="0"/>
          </a:endParaRPr>
        </a:p>
      </xdr:txBody>
    </xdr:sp>
    <xdr:clientData/>
  </xdr:twoCellAnchor>
  <xdr:twoCellAnchor>
    <xdr:from>
      <xdr:col>23</xdr:col>
      <xdr:colOff>514350</xdr:colOff>
      <xdr:row>15</xdr:row>
      <xdr:rowOff>152399</xdr:rowOff>
    </xdr:from>
    <xdr:to>
      <xdr:col>27</xdr:col>
      <xdr:colOff>200025</xdr:colOff>
      <xdr:row>18</xdr:row>
      <xdr:rowOff>28575</xdr:rowOff>
    </xdr:to>
    <xdr:sp macro="" textlink="">
      <xdr:nvSpPr>
        <xdr:cNvPr id="70" name="TextBox 69">
          <a:extLst>
            <a:ext uri="{FF2B5EF4-FFF2-40B4-BE49-F238E27FC236}">
              <a16:creationId xmlns:a16="http://schemas.microsoft.com/office/drawing/2014/main" id="{9604BD03-E688-02F9-2FA8-2BC885456635}"/>
            </a:ext>
          </a:extLst>
        </xdr:cNvPr>
        <xdr:cNvSpPr txBox="1"/>
      </xdr:nvSpPr>
      <xdr:spPr>
        <a:xfrm>
          <a:off x="14535150" y="2867024"/>
          <a:ext cx="2124075"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Sales cluster on the coasts. Central U.S. = untapped opportunity.</a:t>
          </a:r>
          <a:endParaRPr lang="en-NG" sz="900">
            <a:solidFill>
              <a:srgbClr val="235733"/>
            </a:solidFill>
            <a:latin typeface="Aptos" panose="020B0004020202020204" pitchFamily="34" charset="0"/>
          </a:endParaRPr>
        </a:p>
      </xdr:txBody>
    </xdr:sp>
    <xdr:clientData/>
  </xdr:twoCellAnchor>
  <xdr:twoCellAnchor>
    <xdr:from>
      <xdr:col>8</xdr:col>
      <xdr:colOff>219075</xdr:colOff>
      <xdr:row>28</xdr:row>
      <xdr:rowOff>123824</xdr:rowOff>
    </xdr:from>
    <xdr:to>
      <xdr:col>11</xdr:col>
      <xdr:colOff>352425</xdr:colOff>
      <xdr:row>32</xdr:row>
      <xdr:rowOff>28575</xdr:rowOff>
    </xdr:to>
    <xdr:sp macro="" textlink="">
      <xdr:nvSpPr>
        <xdr:cNvPr id="71" name="TextBox 70">
          <a:extLst>
            <a:ext uri="{FF2B5EF4-FFF2-40B4-BE49-F238E27FC236}">
              <a16:creationId xmlns:a16="http://schemas.microsoft.com/office/drawing/2014/main" id="{2C70E378-0BF7-DC65-DA83-FFC709E79FE0}"/>
            </a:ext>
          </a:extLst>
        </xdr:cNvPr>
        <xdr:cNvSpPr txBox="1"/>
      </xdr:nvSpPr>
      <xdr:spPr>
        <a:xfrm>
          <a:off x="5095875" y="5191124"/>
          <a:ext cx="1962150"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Top 3 cities = $167K. Risk: too concentrated — diversify.</a:t>
          </a:r>
          <a:endParaRPr lang="en-NG" sz="900">
            <a:solidFill>
              <a:srgbClr val="235733"/>
            </a:solidFill>
            <a:latin typeface="Aptos" panose="020B0004020202020204" pitchFamily="34" charset="0"/>
          </a:endParaRPr>
        </a:p>
      </xdr:txBody>
    </xdr:sp>
    <xdr:clientData/>
  </xdr:twoCellAnchor>
  <xdr:twoCellAnchor>
    <xdr:from>
      <xdr:col>21</xdr:col>
      <xdr:colOff>390525</xdr:colOff>
      <xdr:row>29</xdr:row>
      <xdr:rowOff>28574</xdr:rowOff>
    </xdr:from>
    <xdr:to>
      <xdr:col>27</xdr:col>
      <xdr:colOff>400050</xdr:colOff>
      <xdr:row>32</xdr:row>
      <xdr:rowOff>114300</xdr:rowOff>
    </xdr:to>
    <xdr:sp macro="" textlink="">
      <xdr:nvSpPr>
        <xdr:cNvPr id="73" name="TextBox 72">
          <a:extLst>
            <a:ext uri="{FF2B5EF4-FFF2-40B4-BE49-F238E27FC236}">
              <a16:creationId xmlns:a16="http://schemas.microsoft.com/office/drawing/2014/main" id="{F9B571AF-4E00-8055-5F3A-4656E9287F71}"/>
            </a:ext>
          </a:extLst>
        </xdr:cNvPr>
        <xdr:cNvSpPr txBox="1"/>
      </xdr:nvSpPr>
      <xdr:spPr>
        <a:xfrm>
          <a:off x="13192125" y="5276849"/>
          <a:ext cx="3667125" cy="62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Peaks in Jun &amp; Dec. Plan inventory/staffing around seasonality.</a:t>
          </a:r>
          <a:endParaRPr lang="en-NG" sz="900">
            <a:solidFill>
              <a:srgbClr val="235733"/>
            </a:solidFill>
            <a:latin typeface="Aptos"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30479</xdr:colOff>
      <xdr:row>0</xdr:row>
      <xdr:rowOff>7619</xdr:rowOff>
    </xdr:from>
    <xdr:to>
      <xdr:col>20</xdr:col>
      <xdr:colOff>372533</xdr:colOff>
      <xdr:row>65</xdr:row>
      <xdr:rowOff>59267</xdr:rowOff>
    </xdr:to>
    <xdr:sp macro="" textlink="">
      <xdr:nvSpPr>
        <xdr:cNvPr id="2" name="Rectangle 1">
          <a:extLst>
            <a:ext uri="{FF2B5EF4-FFF2-40B4-BE49-F238E27FC236}">
              <a16:creationId xmlns:a16="http://schemas.microsoft.com/office/drawing/2014/main" id="{07CE45AB-80A5-4306-9A16-DA59B8AFA951}"/>
            </a:ext>
          </a:extLst>
        </xdr:cNvPr>
        <xdr:cNvSpPr/>
      </xdr:nvSpPr>
      <xdr:spPr>
        <a:xfrm>
          <a:off x="30479" y="7619"/>
          <a:ext cx="12534054" cy="12158981"/>
        </a:xfrm>
        <a:prstGeom prst="rect">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Century Gothic" panose="020B0502020202020204" pitchFamily="34" charset="0"/>
            </a:rPr>
            <a:t>KEY FINDINGS</a:t>
          </a:r>
        </a:p>
        <a:p>
          <a:endParaRPr lang="en-US" sz="1200">
            <a:latin typeface="Century Gothic" panose="020B0502020202020204" pitchFamily="34" charset="0"/>
          </a:endParaRPr>
        </a:p>
        <a:p>
          <a:r>
            <a:rPr lang="en-US" sz="1200">
              <a:latin typeface="Century Gothic" panose="020B0502020202020204" pitchFamily="34" charset="0"/>
            </a:rPr>
            <a:t>The year 2014 was defined by concentration — in people, places, and products. At the heart of the business's success was </a:t>
          </a:r>
          <a:r>
            <a:rPr lang="en-US" sz="1200" b="1">
              <a:latin typeface="Century Gothic" panose="020B0502020202020204" pitchFamily="34" charset="0"/>
            </a:rPr>
            <a:t>Nancy Freehafer</a:t>
          </a:r>
          <a:r>
            <a:rPr lang="en-US" sz="1200">
              <a:latin typeface="Century Gothic" panose="020B0502020202020204" pitchFamily="34" charset="0"/>
            </a:rPr>
            <a:t>, the top performing salesperson who single-handedly generated $104,252.34 for the North region, accounting for approximately 73% of the North's total revenue. Her dominance was built almost entirely in the Pacific Northwest, with Portland ($50,208.35), Seattle ($36,839.99), and Boise ($17,204.00) forming her core market. Nancy's sales trend showed a strong year-end performance peaking in November and recovering in December, though a sharp February dip revealed a recurring seasonal vulnerability in her pipeline.</a:t>
          </a:r>
        </a:p>
        <a:p>
          <a:endParaRPr lang="en-US" sz="1200">
            <a:latin typeface="Century Gothic" panose="020B0502020202020204" pitchFamily="34" charset="0"/>
          </a:endParaRPr>
        </a:p>
        <a:p>
          <a:r>
            <a:rPr lang="en-US" sz="1200">
              <a:latin typeface="Century Gothic" panose="020B0502020202020204" pitchFamily="34" charset="0"/>
            </a:rPr>
            <a:t>The second highest individual contributor was </a:t>
          </a:r>
          <a:r>
            <a:rPr lang="en-US" sz="1200" b="1">
              <a:latin typeface="Century Gothic" panose="020B0502020202020204" pitchFamily="34" charset="0"/>
            </a:rPr>
            <a:t>Anne Larsen</a:t>
          </a:r>
          <a:r>
            <a:rPr lang="en-US" sz="1200">
              <a:latin typeface="Century Gothic" panose="020B0502020202020204" pitchFamily="34" charset="0"/>
            </a:rPr>
            <a:t> at $93,858.33, who carried the entire South region on her own across two cities — Miami ($50,145.33) and Memphis ($43,713.00). Anne's consistency throughout the year, with no extreme dips, made her the most stable performer on the team. </a:t>
          </a:r>
          <a:r>
            <a:rPr lang="en-US" sz="1200" b="1">
              <a:latin typeface="Century Gothic" panose="020B0502020202020204" pitchFamily="34" charset="0"/>
            </a:rPr>
            <a:t>Andrew Cencini</a:t>
          </a:r>
          <a:r>
            <a:rPr lang="en-US" sz="1200">
              <a:latin typeface="Century Gothic" panose="020B0502020202020204" pitchFamily="34" charset="0"/>
            </a:rPr>
            <a:t> followed at $67,180.50, operating exclusively in New York within the East region. Despite generating strong revenue, Andrew's April collapse to $738.40 exposed a critical mid-year vulnerability, and his complete dependence on a single city represents a business risk that mirrors what is seen across several other salespersons.</a:t>
          </a:r>
        </a:p>
        <a:p>
          <a:endParaRPr lang="en-US" sz="1200">
            <a:latin typeface="Century Gothic" panose="020B0502020202020204" pitchFamily="34" charset="0"/>
          </a:endParaRPr>
        </a:p>
        <a:p>
          <a:r>
            <a:rPr lang="en-US" sz="1200" b="1">
              <a:latin typeface="Century Gothic" panose="020B0502020202020204" pitchFamily="34" charset="0"/>
            </a:rPr>
            <a:t>Laura Giussani</a:t>
          </a:r>
          <a:r>
            <a:rPr lang="en-US" sz="1200">
              <a:latin typeface="Century Gothic" panose="020B0502020202020204" pitchFamily="34" charset="0"/>
            </a:rPr>
            <a:t> ($41,095.01) and </a:t>
          </a:r>
          <a:r>
            <a:rPr lang="en-US" sz="1200" b="1">
              <a:latin typeface="Century Gothic" panose="020B0502020202020204" pitchFamily="34" charset="0"/>
            </a:rPr>
            <a:t>Mariya Sergienko</a:t>
          </a:r>
          <a:r>
            <a:rPr lang="en-US" sz="1200">
              <a:latin typeface="Century Gothic" panose="020B0502020202020204" pitchFamily="34" charset="0"/>
            </a:rPr>
            <a:t> ($42,370.88) occupied the mid-tier of the sales team. Laura served Chicago exclusively within the East region, while Mariya split her revenue between Los Angeles ($27,005.38) and Las Vegas ($15,365.50) in the West — giving her the most geographically diversified city portfolio among her peers. </a:t>
          </a:r>
          <a:r>
            <a:rPr lang="en-US" sz="1200" b="1">
              <a:latin typeface="Century Gothic" panose="020B0502020202020204" pitchFamily="34" charset="0"/>
            </a:rPr>
            <a:t>Michael Neipper</a:t>
          </a:r>
          <a:r>
            <a:rPr lang="en-US" sz="1200">
              <a:latin typeface="Century Gothic" panose="020B0502020202020204" pitchFamily="34" charset="0"/>
            </a:rPr>
            <a:t> ($37,428.00) and </a:t>
          </a:r>
          <a:r>
            <a:rPr lang="en-US" sz="1200" b="1">
              <a:latin typeface="Century Gothic" panose="020B0502020202020204" pitchFamily="34" charset="0"/>
            </a:rPr>
            <a:t>Robert Zare</a:t>
          </a:r>
          <a:r>
            <a:rPr lang="en-US" sz="1200">
              <a:latin typeface="Century Gothic" panose="020B0502020202020204" pitchFamily="34" charset="0"/>
            </a:rPr>
            <a:t> ($32,530.60) both served the North and West regions respectively, each anchored to a single city — Milwaukee and Salt Lake City — with stable but modest performance. At the bottom of the team, </a:t>
          </a:r>
          <a:r>
            <a:rPr lang="en-US" sz="1200" b="1">
              <a:latin typeface="Century Gothic" panose="020B0502020202020204" pitchFamily="34" charset="0"/>
            </a:rPr>
            <a:t>Jan Kotas</a:t>
          </a:r>
          <a:r>
            <a:rPr lang="en-US" sz="1200">
              <a:latin typeface="Century Gothic" panose="020B0502020202020204" pitchFamily="34" charset="0"/>
            </a:rPr>
            <a:t> generated only $16,350.50 from Denver in the West region, with erratic monthly figures, multiple near-zero months, and the narrowest product and city footprint on the entire team.</a:t>
          </a:r>
        </a:p>
        <a:p>
          <a:r>
            <a:rPr lang="en-US" sz="1200">
              <a:latin typeface="Century Gothic" panose="020B0502020202020204" pitchFamily="34" charset="0"/>
            </a:rPr>
            <a:t>From a regional perspective, the </a:t>
          </a:r>
          <a:r>
            <a:rPr lang="en-US" sz="1200" b="1">
              <a:latin typeface="Century Gothic" panose="020B0502020202020204" pitchFamily="34" charset="0"/>
            </a:rPr>
            <a:t>North region</a:t>
          </a:r>
          <a:r>
            <a:rPr lang="en-US" sz="1200">
              <a:latin typeface="Century Gothic" panose="020B0502020202020204" pitchFamily="34" charset="0"/>
            </a:rPr>
            <a:t> dominated with $141,680.34, followed by the West ($108,275.51), East ($93,858.33), and South ($91,251.98). The closeness of the South and East figures, combined with the significant gap between them and the North, confirms that the North's strength is largely a reflection of Nancy's individual output rather than a structural regional advantage. Geographically, performance was concentrated in the northeastern and western United States, with </a:t>
          </a:r>
          <a:r>
            <a:rPr lang="en-US" sz="1200" b="1">
              <a:latin typeface="Century Gothic" panose="020B0502020202020204" pitchFamily="34" charset="0"/>
            </a:rPr>
            <a:t>New York</a:t>
          </a:r>
          <a:r>
            <a:rPr lang="en-US" sz="1200">
              <a:latin typeface="Century Gothic" panose="020B0502020202020204" pitchFamily="34" charset="0"/>
            </a:rPr>
            <a:t> emerging as the top state at $67,180.50 — driven entirely by Andrew Cencini's East region operations.</a:t>
          </a:r>
        </a:p>
        <a:p>
          <a:endParaRPr lang="en-US" sz="1200">
            <a:latin typeface="Century Gothic" panose="020B0502020202020204" pitchFamily="34" charset="0"/>
          </a:endParaRPr>
        </a:p>
        <a:p>
          <a:r>
            <a:rPr lang="en-US" sz="1200">
              <a:latin typeface="Century Gothic" panose="020B0502020202020204" pitchFamily="34" charset="0"/>
            </a:rPr>
            <a:t>On the product side, </a:t>
          </a:r>
          <a:r>
            <a:rPr lang="en-US" sz="1200" b="1">
              <a:latin typeface="Century Gothic" panose="020B0502020202020204" pitchFamily="34" charset="0"/>
            </a:rPr>
            <a:t>Beverages</a:t>
          </a:r>
          <a:r>
            <a:rPr lang="en-US" sz="1200">
              <a:latin typeface="Century Gothic" panose="020B0502020202020204" pitchFamily="34" charset="0"/>
            </a:rPr>
            <a:t> was the undisputed category leader at $110,577.11, followed by </a:t>
          </a:r>
          <a:r>
            <a:rPr lang="en-US" sz="1200" b="1">
              <a:latin typeface="Century Gothic" panose="020B0502020202020204" pitchFamily="34" charset="0"/>
            </a:rPr>
            <a:t>Sauces</a:t>
          </a:r>
          <a:r>
            <a:rPr lang="en-US" sz="1200">
              <a:latin typeface="Century Gothic" panose="020B0502020202020204" pitchFamily="34" charset="0"/>
            </a:rPr>
            <a:t> at $69,000.00. These two categories together formed the backbone of the business's product revenue. </a:t>
          </a:r>
          <a:r>
            <a:rPr lang="en-US" sz="1200" b="1">
              <a:latin typeface="Century Gothic" panose="020B0502020202020204" pitchFamily="34" charset="0"/>
            </a:rPr>
            <a:t>Jams &amp; Preserves</a:t>
          </a:r>
          <a:r>
            <a:rPr lang="en-US" sz="1200">
              <a:latin typeface="Century Gothic" panose="020B0502020202020204" pitchFamily="34" charset="0"/>
            </a:rPr>
            <a:t> and </a:t>
          </a:r>
          <a:r>
            <a:rPr lang="en-US" sz="1200" b="1">
              <a:latin typeface="Century Gothic" panose="020B0502020202020204" pitchFamily="34" charset="0"/>
            </a:rPr>
            <a:t>Dairy Products</a:t>
          </a:r>
          <a:r>
            <a:rPr lang="en-US" sz="1200">
              <a:latin typeface="Century Gothic" panose="020B0502020202020204" pitchFamily="34" charset="0"/>
            </a:rPr>
            <a:t> held mid-tier positions, while </a:t>
          </a:r>
          <a:r>
            <a:rPr lang="en-US" sz="1200" b="1">
              <a:latin typeface="Century Gothic" panose="020B0502020202020204" pitchFamily="34" charset="0"/>
            </a:rPr>
            <a:t>Dried Fruit &amp; Nuts</a:t>
          </a:r>
          <a:r>
            <a:rPr lang="en-US" sz="1200">
              <a:latin typeface="Century Gothic" panose="020B0502020202020204" pitchFamily="34" charset="0"/>
            </a:rPr>
            <a:t> and </a:t>
          </a:r>
          <a:r>
            <a:rPr lang="en-US" sz="1200" b="1">
              <a:latin typeface="Century Gothic" panose="020B0502020202020204" pitchFamily="34" charset="0"/>
            </a:rPr>
            <a:t>Canned Meat</a:t>
          </a:r>
          <a:r>
            <a:rPr lang="en-US" sz="1200">
              <a:latin typeface="Century Gothic" panose="020B0502020202020204" pitchFamily="34" charset="0"/>
            </a:rPr>
            <a:t> occupied smaller but consistent niches — particularly visible in western territory salesperson data, suggesting localised demand that the business has not yet fully developed.</a:t>
          </a:r>
        </a:p>
        <a:p>
          <a:r>
            <a:rPr lang="en-US" sz="1200">
              <a:latin typeface="Century Gothic" panose="020B0502020202020204" pitchFamily="34" charset="0"/>
            </a:rPr>
            <a:t>Sales across the year followed a broadly seasonal pattern, starting at $32,907.84 in January, dipping to a low of $19,985.50 in February, recovering gradually through mid-year, and peaking at $66,642.78 in December. This December peak, also reflected as the top performing month on the dashboard KPI cards, points to strong end-of-year demand that the business successfully captured — though the mid-year trough suggests opportunities to smooth revenue distribution across the calendar year.</a:t>
          </a:r>
        </a:p>
        <a:p>
          <a:r>
            <a:rPr lang="en-US" sz="1200">
              <a:latin typeface="Century Gothic" panose="020B0502020202020204" pitchFamily="34" charset="0"/>
            </a:rPr>
            <a:t>The business's top customer, </a:t>
          </a:r>
          <a:r>
            <a:rPr lang="en-US" sz="1200" b="1">
              <a:latin typeface="Century Gothic" panose="020B0502020202020204" pitchFamily="34" charset="0"/>
            </a:rPr>
            <a:t>Company D</a:t>
          </a:r>
          <a:r>
            <a:rPr lang="en-US" sz="1200">
              <a:latin typeface="Century Gothic" panose="020B0502020202020204" pitchFamily="34" charset="0"/>
            </a:rPr>
            <a:t>, generated $67,200 during the year, and together with New York as the top state and December as the top month, there is a notable alignment suggesting a significant portion of high-value revenue is concentrated in a narrow set of customers, locations, and time periods.</a:t>
          </a:r>
        </a:p>
        <a:p>
          <a:endParaRPr lang="en-US" sz="1200">
            <a:latin typeface="Century Gothic" panose="020B0502020202020204" pitchFamily="34" charset="0"/>
          </a:endParaRPr>
        </a:p>
        <a:p>
          <a:r>
            <a:rPr lang="en-US" sz="1200" b="1">
              <a:latin typeface="Century Gothic" panose="020B0502020202020204" pitchFamily="34" charset="0"/>
            </a:rPr>
            <a:t>CONCLUSIONS</a:t>
          </a:r>
          <a:endParaRPr lang="en-US" sz="1200">
            <a:latin typeface="Century Gothic" panose="020B0502020202020204" pitchFamily="34" charset="0"/>
          </a:endParaRPr>
        </a:p>
        <a:p>
          <a:r>
            <a:rPr lang="en-US" sz="1200">
              <a:latin typeface="Century Gothic" panose="020B0502020202020204" pitchFamily="34" charset="0"/>
            </a:rPr>
            <a:t>The overarching conclusion from this analysis is that De Angels Super Mart's 2014 performance, while commercially solid, is built on a foundation of significant concentration risk. The business relies heavily on a small number of individuals, cities, and product categories to generate the majority of its revenue. Nancy Freehafer alone drives nearly a quarter of total team revenue, and several other salespersons are each entirely dependent on a single city. Beverages and Sauces account for the lion's share of product revenue, while the remaining four categories remain underdeveloped. This concentration, if left unaddressed, leaves the business vulnerable to disruption from personnel changes, market shifts, or supply issues in any of its dominant areas.</a:t>
          </a:r>
        </a:p>
        <a:p>
          <a:r>
            <a:rPr lang="en-US" sz="1200">
              <a:latin typeface="Century Gothic" panose="020B0502020202020204" pitchFamily="34" charset="0"/>
            </a:rPr>
            <a:t>At the same time, the data reveals genuine and accessible growth opportunities. The West region, despite housing three salespersons, is significantly underperforming relative to its market potential — particularly given Jan Kotas's limited output in Denver. The South region, entirely carried by Anne Larsen, shows that a single motivated salesperson can generate nearly $94,000 from just two cities, suggesting the region has room for expansion with additional resource. Mid-tier product categories like Jams, Preserves, and Dairy Products have a stable customer base that has not been maximised, and the niche demand for Canned Meat and Dried Fruit &amp; Nuts in western markets points to a localised growth opportunity that remains untapped.</a:t>
          </a:r>
        </a:p>
        <a:p>
          <a:endParaRPr lang="en-US" sz="1200">
            <a:latin typeface="Century Gothic" panose="020B0502020202020204" pitchFamily="34" charset="0"/>
          </a:endParaRPr>
        </a:p>
        <a:p>
          <a:r>
            <a:rPr lang="en-US" sz="1200" b="1">
              <a:latin typeface="Century Gothic" panose="020B0502020202020204" pitchFamily="34" charset="0"/>
            </a:rPr>
            <a:t>RECOMMENDATIONS</a:t>
          </a:r>
          <a:endParaRPr lang="en-US" sz="1200">
            <a:latin typeface="Century Gothic" panose="020B0502020202020204" pitchFamily="34" charset="0"/>
          </a:endParaRPr>
        </a:p>
        <a:p>
          <a:r>
            <a:rPr lang="en-US" sz="1200">
              <a:latin typeface="Century Gothic" panose="020B0502020202020204" pitchFamily="34" charset="0"/>
            </a:rPr>
            <a:t>Based on the findings and conclusions of this analysis, De Angels Super Mart should prioritise the following actions going into 2015. First, the business must reduce its dependency on individual salespersons by developing succession plans, assigning support staff to top performers like Nancy and Anne, and implementing structured performance improvement plans for underperformers, particularly Jan Kotas. Second, a geographic expansion strategy should be developed for each salesperson currently anchored to a single city, with clear targets for entering at least one new city in their territory by mid-2015. Third, a product diversification campaign should be launched to grow the four smaller categories — starting with bundling promotions that pair Beverages with Dried Fruit &amp; Nuts or Canned Meat to introduce customers to categories they may not currently purchase. Finally, the business should address the recurring mid-year revenue dip seen across multiple salespersons by designing targeted Q1 and Q2 campaigns that sustain customer engagement beyond the natural year-end peak.</a:t>
          </a:r>
        </a:p>
        <a:p>
          <a:pPr algn="l"/>
          <a:endParaRPr lang="en-US" sz="1200" b="0">
            <a:latin typeface="Century Gothic" panose="020B0502020202020204" pitchFamily="34" charset="0"/>
          </a:endParaRPr>
        </a:p>
      </xdr:txBody>
    </xdr:sp>
    <xdr:clientData/>
  </xdr:twoCellAnchor>
  <xdr:oneCellAnchor>
    <xdr:from>
      <xdr:col>12</xdr:col>
      <xdr:colOff>236220</xdr:colOff>
      <xdr:row>15</xdr:row>
      <xdr:rowOff>0</xdr:rowOff>
    </xdr:from>
    <xdr:ext cx="184731" cy="264560"/>
    <xdr:sp macro="" textlink="">
      <xdr:nvSpPr>
        <xdr:cNvPr id="4" name="TextBox 3">
          <a:extLst>
            <a:ext uri="{FF2B5EF4-FFF2-40B4-BE49-F238E27FC236}">
              <a16:creationId xmlns:a16="http://schemas.microsoft.com/office/drawing/2014/main" id="{C0F6C275-5B2F-49F6-B687-C40D9A8B73C4}"/>
            </a:ext>
          </a:extLst>
        </xdr:cNvPr>
        <xdr:cNvSpPr txBox="1"/>
      </xdr:nvSpPr>
      <xdr:spPr>
        <a:xfrm>
          <a:off x="7551420" y="274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30480</xdr:colOff>
      <xdr:row>0</xdr:row>
      <xdr:rowOff>7616</xdr:rowOff>
    </xdr:from>
    <xdr:to>
      <xdr:col>7</xdr:col>
      <xdr:colOff>563880</xdr:colOff>
      <xdr:row>223</xdr:row>
      <xdr:rowOff>32657</xdr:rowOff>
    </xdr:to>
    <xdr:sp macro="" textlink="">
      <xdr:nvSpPr>
        <xdr:cNvPr id="3" name="Rectangle 2">
          <a:extLst>
            <a:ext uri="{FF2B5EF4-FFF2-40B4-BE49-F238E27FC236}">
              <a16:creationId xmlns:a16="http://schemas.microsoft.com/office/drawing/2014/main" id="{975A76CE-8328-4147-961A-66348C162261}"/>
            </a:ext>
          </a:extLst>
        </xdr:cNvPr>
        <xdr:cNvSpPr/>
      </xdr:nvSpPr>
      <xdr:spPr>
        <a:xfrm>
          <a:off x="30480" y="7616"/>
          <a:ext cx="4800600" cy="41292784"/>
        </a:xfrm>
        <a:prstGeom prst="rect">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a:t>
          </a:r>
          <a:r>
            <a:rPr lang="en-US" sz="1100" b="1" baseline="0"/>
            <a:t> ANALYSIS OBSERVATION</a:t>
          </a:r>
        </a:p>
        <a:p>
          <a:pPr algn="l"/>
          <a:endParaRPr lang="en-US" sz="1100" b="1" baseline="0"/>
        </a:p>
        <a:p>
          <a:pPr algn="l"/>
          <a:r>
            <a:rPr lang="en-US" sz="1100" b="1" baseline="0"/>
            <a:t>1. Resolution for sales by region</a:t>
          </a:r>
        </a:p>
        <a:p>
          <a:pPr algn="l"/>
          <a:endParaRPr lang="en-US" sz="1100" b="0" baseline="0"/>
        </a:p>
        <a:p>
          <a:r>
            <a:rPr lang="en-US" sz="1100" b="0" baseline="0"/>
            <a:t>a. </a:t>
          </a:r>
          <a:r>
            <a:rPr lang="en-US" sz="1100"/>
            <a:t>North has the highest sales at $141,680.34, making it the top-performing region.</a:t>
          </a:r>
        </a:p>
        <a:p>
          <a:endParaRPr lang="en-US" sz="1100"/>
        </a:p>
        <a:p>
          <a:r>
            <a:rPr lang="en-US" sz="1100"/>
            <a:t>b. South ($93,858.33) and West ($91,251.98) are very close in value, almost tied for the lowest.</a:t>
          </a:r>
        </a:p>
        <a:p>
          <a:endParaRPr lang="en-US" sz="1100"/>
        </a:p>
        <a:p>
          <a:r>
            <a:rPr lang="en-US" sz="1100"/>
            <a:t>c. East sits in the middle at $108,275.51.</a:t>
          </a:r>
        </a:p>
        <a:p>
          <a:endParaRPr lang="en-US" sz="1100"/>
        </a:p>
        <a:p>
          <a:r>
            <a:rPr lang="en-US" sz="1100"/>
            <a:t>d. North alone accounts for roughly a third of total sales (33%), noticeably larger than each of the other three regions individually.</a:t>
          </a:r>
        </a:p>
        <a:p>
          <a:endParaRPr lang="en-US" sz="1100"/>
        </a:p>
        <a:p>
          <a:r>
            <a:rPr lang="en-US" sz="1100"/>
            <a:t>e. The bottom two regions (South and West) combined are only slightly higher than North alone.</a:t>
          </a:r>
        </a:p>
        <a:p>
          <a:pPr algn="l"/>
          <a:endParaRPr lang="en-US" sz="1100" b="0" baseline="0"/>
        </a:p>
        <a:p>
          <a:pPr algn="l"/>
          <a:endParaRPr lang="en-US" sz="1100" b="0" baseline="0"/>
        </a:p>
        <a:p>
          <a:pPr algn="l"/>
          <a:endParaRPr lang="en-US" sz="1100" b="1" baseline="0">
            <a:solidFill>
              <a:schemeClr val="lt1"/>
            </a:solidFill>
            <a:effectLst/>
            <a:latin typeface="+mn-lt"/>
            <a:ea typeface="+mn-ea"/>
            <a:cs typeface="+mn-cs"/>
          </a:endParaRPr>
        </a:p>
        <a:p>
          <a:pPr algn="l"/>
          <a:endParaRPr lang="en-US" sz="1100" b="1" baseline="0">
            <a:solidFill>
              <a:schemeClr val="lt1"/>
            </a:solidFill>
            <a:effectLst/>
            <a:latin typeface="+mn-lt"/>
            <a:ea typeface="+mn-ea"/>
            <a:cs typeface="+mn-cs"/>
          </a:endParaRPr>
        </a:p>
        <a:p>
          <a:pPr algn="l"/>
          <a:r>
            <a:rPr lang="en-US" sz="1100" b="1" baseline="0">
              <a:solidFill>
                <a:schemeClr val="lt1"/>
              </a:solidFill>
              <a:effectLst/>
              <a:latin typeface="+mn-lt"/>
              <a:ea typeface="+mn-ea"/>
              <a:cs typeface="+mn-cs"/>
            </a:rPr>
            <a:t>2. Resolution for sales by salesperson</a:t>
          </a:r>
        </a:p>
        <a:p>
          <a:pPr algn="l"/>
          <a:endParaRPr lang="en-US" sz="1100" b="0" baseline="0">
            <a:solidFill>
              <a:schemeClr val="lt1"/>
            </a:solidFill>
            <a:effectLst/>
            <a:latin typeface="+mn-lt"/>
            <a:ea typeface="+mn-ea"/>
            <a:cs typeface="+mn-cs"/>
          </a:endParaRPr>
        </a:p>
        <a:p>
          <a:pPr algn="l"/>
          <a:r>
            <a:rPr lang="en-US" sz="1100" b="0" baseline="0">
              <a:solidFill>
                <a:schemeClr val="lt1"/>
              </a:solidFill>
              <a:effectLst/>
              <a:latin typeface="+mn-lt"/>
              <a:ea typeface="+mn-ea"/>
              <a:cs typeface="+mn-cs"/>
            </a:rPr>
            <a:t>a.</a:t>
          </a:r>
          <a:r>
            <a:rPr lang="en-US" sz="1100"/>
            <a:t>Nancy Freehafer leads with $104,252.34, followed closely by Anne Larsen at $93,858.33.</a:t>
          </a:r>
        </a:p>
        <a:p>
          <a:pPr algn="l"/>
          <a:r>
            <a:rPr lang="en-US" sz="1100"/>
            <a:t> </a:t>
          </a:r>
        </a:p>
        <a:p>
          <a:pPr algn="l"/>
          <a:r>
            <a:rPr lang="en-US" sz="1100"/>
            <a:t>b.There's a sharp drop after the top two — Andrew Cencini comes third at $67,180.50, about $27,000 below Anne. </a:t>
          </a:r>
        </a:p>
        <a:p>
          <a:pPr algn="l"/>
          <a:endParaRPr lang="en-US" sz="1100"/>
        </a:p>
        <a:p>
          <a:pPr algn="l"/>
          <a:r>
            <a:rPr lang="en-US" sz="1100"/>
            <a:t>c. Mariya Sergienko and Laura Giussani are nearly tied in the middle range ($42,370.88 and $41,095.01). Jan Kotas has the lowest sales by far at $16,350.50, less than half of the next lowest (Robert Zare at $32,530.60). </a:t>
          </a:r>
        </a:p>
        <a:p>
          <a:pPr algn="l"/>
          <a:endParaRPr lang="en-US" sz="1100"/>
        </a:p>
        <a:p>
          <a:pPr algn="l"/>
          <a:r>
            <a:rPr lang="en-US" sz="1100"/>
            <a:t>d. The gap between the top performer (Nancy) and bottom performer (Jan) is over $87,000 — roughly a 6x difference.</a:t>
          </a:r>
        </a:p>
        <a:p>
          <a:pPr algn="l"/>
          <a:endParaRPr lang="en-US" sz="1100" b="1"/>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white"/>
              </a:solidFill>
              <a:effectLst/>
              <a:uLnTx/>
              <a:uFillTx/>
              <a:latin typeface="+mn-lt"/>
              <a:ea typeface="+mn-ea"/>
              <a:cs typeface="+mn-cs"/>
            </a:rPr>
            <a:t>3. Resolution for top 10 customers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a. Company D is the top customer at $67,180.50, with a noticeable lead over the second-highest, Company H at $50,208.35, a gap of nearly $17,000.</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b. There is a gradual, relatively steady decline from Company D down to Company K ($21,937.08).</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c. The top 3 customers (Company D, H, BB) account for a significantly larger share compared to the bottom 3 (Company Z, C, 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d. Company K at the bottom ($21,937.08) is roughly one-third of Company D's value.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e. The middle cluster which Company F, A, and I ($37,428, $36,839, $32,530) — are very close in value, almost interchangeable in ranking.</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white"/>
              </a:solidFill>
              <a:effectLst/>
              <a:uLnTx/>
              <a:uFillTx/>
              <a:latin typeface="+mn-lt"/>
              <a:ea typeface="+mn-ea"/>
              <a:cs typeface="+mn-cs"/>
            </a:rPr>
            <a:t>4. Resolution for sales trend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a. December is the highest performing month at $66,642.78, and February is the lowest at $19,985.50.2.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b. There are two clear peak months, June ($55,601.61) and December ($66,642.78) — separated by a mid-year dip.</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c. The trend line (dotted) shows an overall upward direction across the year, meaning sales generally improved over time despite fluctuations.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d. There is a sharp drop from June ($55,601.61) to July ($27,318.54) — nearly a $28,000 fall in one month.</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e. August and September are relatively flat and low ($27,318.54, $29,921.46, $31,949.97), forming a slow recovery period.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f. November ($31,773.43) is surprisingly low coming right before December's peak — the jump from November to December is the single biggest monthly rise in the year, nearly $35,000.</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g. The first quarter (Jan–Apr) shows weakness, with two of the year's three lowest months falling in Feb and Apr.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white"/>
              </a:solidFill>
              <a:effectLst/>
              <a:uLnTx/>
              <a:uFillTx/>
              <a:latin typeface="+mn-lt"/>
              <a:ea typeface="+mn-ea"/>
              <a:cs typeface="+mn-cs"/>
            </a:rPr>
            <a:t>5. Resolution for product category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a. Beverages is clearly the largest category, occupying roughly the leftmost third of the treemap — the single biggest block.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b. Sauces is the second largest, taking up a similarly tall but slightly narrower block next to Beverages.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c. Jams &amp; Preserves and Dairy Products sit side by side as mid-sized categories, noticeably smaller than Beverages and Sauces but still significant.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d. Dried Fruit &amp; Nuts and Canned Meat are the smallest categories, sharing the bottom-right corner of the chart with visibly smaller blocks.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e. The top two categories (Beverages and Sauces) together appear to dominate more than half the total sales area on the chart.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f. Canned Meat appears to be the smallest performing category of all six.</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algn="l"/>
          <a:endParaRPr lang="en-US" sz="1100" b="1"/>
        </a:p>
        <a:p>
          <a:pPr algn="l"/>
          <a:endParaRPr lang="en-US" sz="1100" b="1"/>
        </a:p>
        <a:p>
          <a:pPr algn="l"/>
          <a:endParaRPr lang="en-US" sz="1100" b="1"/>
        </a:p>
        <a:p>
          <a:pPr algn="l"/>
          <a:r>
            <a:rPr lang="en-US" sz="1100" b="1"/>
            <a:t>6. Resolution for States Performance by Revenue</a:t>
          </a:r>
        </a:p>
        <a:p>
          <a:pPr algn="l"/>
          <a:endParaRPr lang="en-US" sz="1100" b="0"/>
        </a:p>
        <a:p>
          <a:pPr algn="l"/>
          <a:r>
            <a:rPr lang="en-US" sz="1100" b="0"/>
            <a:t>a. New York is the highest revenue-generating state at $67,180.50. </a:t>
          </a:r>
        </a:p>
        <a:p>
          <a:pPr algn="l"/>
          <a:endParaRPr lang="en-US" sz="1100" b="0"/>
        </a:p>
        <a:p>
          <a:pPr algn="l"/>
          <a:r>
            <a:rPr lang="en-US" sz="1100" b="0"/>
            <a:t>b. Oregon is the second highest at $50,208.35, followed by Florida. </a:t>
          </a:r>
        </a:p>
        <a:p>
          <a:pPr algn="l"/>
          <a:endParaRPr lang="en-US" sz="1100" b="0"/>
        </a:p>
        <a:p>
          <a:pPr algn="l"/>
          <a:r>
            <a:rPr lang="en-US" sz="1100" b="0"/>
            <a:t>c. Tennessee ($43,713.00) and Illinois ($41,095.01) form a mid-tier group in the central/eastern part of the country.</a:t>
          </a:r>
        </a:p>
        <a:p>
          <a:pPr algn="l"/>
          <a:endParaRPr lang="en-US" sz="1100" b="0"/>
        </a:p>
        <a:p>
          <a:pPr algn="l"/>
          <a:r>
            <a:rPr lang="en-US" sz="1100" b="0"/>
            <a:t>d. Nevada ($15,365.50) and Colorado ($16,350.50) are the lowest performing states visible, both under $17,000.</a:t>
          </a:r>
        </a:p>
        <a:p>
          <a:pPr algn="l"/>
          <a:endParaRPr lang="en-US" sz="1100" b="0"/>
        </a:p>
        <a:p>
          <a:pPr algn="l"/>
          <a:r>
            <a:rPr lang="en-US" sz="1100" b="0"/>
            <a:t>e. Idaho ($17,204.00) is also among the weakest performers despite being geographically surrounded by stronger western states like Oregon and Washington.</a:t>
          </a:r>
        </a:p>
        <a:p>
          <a:pPr algn="l"/>
          <a:endParaRPr lang="en-US" sz="1100" b="0"/>
        </a:p>
        <a:p>
          <a:pPr algn="l"/>
          <a:r>
            <a:rPr lang="en-US" sz="1100" b="0"/>
            <a:t>f. Only 11 states appear to have recorded revenue — the majority of US states show no shading at all, meaning the company has no sales activity there.</a:t>
          </a:r>
        </a:p>
        <a:p>
          <a:pPr algn="l"/>
          <a:endParaRPr lang="en-US" sz="1100" b="0"/>
        </a:p>
        <a:p>
          <a:pPr algn="l"/>
          <a:r>
            <a:rPr lang="en-US" sz="1100" b="0"/>
            <a:t>g. The active states are spread across different parts of the country — West Coast (Oregon, Washington, California), Mountain region (Nevada, Idaho, Utah, Colorado), Midwest (Wisconsin, Illinois), and East/South (New York, Tennessee, Florida).</a:t>
          </a:r>
        </a:p>
        <a:p>
          <a:pPr algn="l"/>
          <a:endParaRPr lang="en-US" sz="1100" b="0"/>
        </a:p>
        <a:p>
          <a:pPr algn="l"/>
          <a:endParaRPr lang="en-US" sz="1100" b="0"/>
        </a:p>
        <a:p>
          <a:pPr algn="l"/>
          <a:endParaRPr lang="en-US" sz="1100" b="1"/>
        </a:p>
        <a:p>
          <a:pPr algn="l"/>
          <a:endParaRPr lang="en-US" sz="1100" b="1"/>
        </a:p>
        <a:p>
          <a:pPr algn="l"/>
          <a:endParaRPr lang="en-US" sz="1100" b="1"/>
        </a:p>
        <a:p>
          <a:pPr algn="l"/>
          <a:endParaRPr lang="en-US" sz="1100" b="1"/>
        </a:p>
        <a:p>
          <a:pPr algn="l"/>
          <a:endParaRPr lang="en-US" sz="1100" b="1"/>
        </a:p>
        <a:p>
          <a:pPr algn="l"/>
          <a:endParaRPr lang="en-US" sz="1100" b="1"/>
        </a:p>
        <a:p>
          <a:pPr algn="l"/>
          <a:r>
            <a:rPr lang="en-US" sz="1100" b="1"/>
            <a:t>7. Resolution for Top 5 cities by Revenue</a:t>
          </a:r>
        </a:p>
        <a:p>
          <a:pPr algn="l"/>
          <a:endParaRPr lang="en-US" sz="1100" b="0"/>
        </a:p>
        <a:p>
          <a:pPr algn="l"/>
          <a:r>
            <a:rPr lang="en-US" sz="1100" b="0"/>
            <a:t>a. New York is the top performing city at $67,180.50, with a clear and visible lead over the remaining four cities.</a:t>
          </a:r>
        </a:p>
        <a:p>
          <a:pPr algn="l"/>
          <a:endParaRPr lang="en-US" sz="1100" b="0"/>
        </a:p>
        <a:p>
          <a:pPr algn="l"/>
          <a:r>
            <a:rPr lang="en-US" sz="1100" b="0"/>
            <a:t>b. Portland and Miami are almost identical in revenue — $50,208.35 and $50,145.33 respectively — a difference of less than $100.</a:t>
          </a:r>
        </a:p>
        <a:p>
          <a:pPr algn="l"/>
          <a:endParaRPr lang="en-US" sz="1100" b="0"/>
        </a:p>
        <a:p>
          <a:pPr algn="l"/>
          <a:r>
            <a:rPr lang="en-US" sz="1100" b="0"/>
            <a:t>c. Memphis sits in fourth place at $43,713.00, followed by Chicago at $41,095.01 in fifth.</a:t>
          </a:r>
        </a:p>
        <a:p>
          <a:pPr algn="l"/>
          <a:endParaRPr lang="en-US" sz="1100" b="0"/>
        </a:p>
        <a:p>
          <a:pPr algn="l"/>
          <a:r>
            <a:rPr lang="en-US" sz="1100" b="0"/>
            <a:t>d. The bottom four cities (Portland, Miami, Memphis, Chicago) are relatively close to each other compared to the gap New York creates at the top.</a:t>
          </a:r>
        </a:p>
        <a:p>
          <a:pPr algn="l"/>
          <a:endParaRPr lang="en-US" sz="1100" b="0"/>
        </a:p>
        <a:p>
          <a:pPr algn="l"/>
          <a:r>
            <a:rPr lang="en-US" sz="1100" b="0"/>
            <a:t>e. The difference between New York and Chicago (5th place) is about $26,000, while the difference between Portland (2nd) and Chicago (5th) is only about $9,000.</a:t>
          </a:r>
        </a:p>
        <a:p>
          <a:pPr algn="l"/>
          <a:endParaRPr lang="en-US" sz="1100" b="0"/>
        </a:p>
        <a:p>
          <a:pPr algn="l"/>
          <a:r>
            <a:rPr lang="en-US" sz="1100" b="0"/>
            <a:t>f. Only 5 cities are represented, consistent with the earlier states map showing limited geographic reach.</a:t>
          </a:r>
        </a:p>
        <a:p>
          <a:pPr algn="l"/>
          <a:endParaRPr lang="en-US" sz="1100" b="0"/>
        </a:p>
        <a:p>
          <a:pPr algn="l"/>
          <a:endParaRPr lang="en-US" sz="1100" b="0"/>
        </a:p>
        <a:p>
          <a:pPr algn="l"/>
          <a:endParaRPr lang="en-US" sz="1100" b="1"/>
        </a:p>
        <a:p>
          <a:pPr algn="l"/>
          <a:endParaRPr lang="en-US" sz="1100" b="1"/>
        </a:p>
        <a:p>
          <a:pPr algn="l"/>
          <a:endParaRPr lang="en-US" sz="1100" b="1"/>
        </a:p>
        <a:p>
          <a:pPr algn="l"/>
          <a:endParaRPr lang="en-US" sz="1100" b="1"/>
        </a:p>
        <a:p>
          <a:pPr algn="l"/>
          <a:endParaRPr lang="en-US" sz="1100" b="1"/>
        </a:p>
        <a:p>
          <a:pPr algn="l"/>
          <a:endParaRPr lang="en-US" sz="1100" b="1"/>
        </a:p>
        <a:p>
          <a:pPr algn="l"/>
          <a:endParaRPr lang="en-US" sz="1100" b="1"/>
        </a:p>
        <a:p>
          <a:pPr algn="l"/>
          <a:r>
            <a:rPr lang="en-US" sz="1100" b="1"/>
            <a:t>8. Resolution for Top 6 Shipping Cities</a:t>
          </a:r>
        </a:p>
        <a:p>
          <a:pPr algn="l"/>
          <a:endParaRPr lang="en-US" sz="1100" b="0"/>
        </a:p>
        <a:p>
          <a:pPr algn="l"/>
          <a:r>
            <a:rPr lang="en-US" sz="1100" b="0"/>
            <a:t>a. New York is the top shipping city at $67,180.50, visibly extending the furthest outward on the radar chart confirming its dominance.</a:t>
          </a:r>
        </a:p>
        <a:p>
          <a:pPr algn="l"/>
          <a:endParaRPr lang="en-US" sz="1100" b="0"/>
        </a:p>
        <a:p>
          <a:pPr algn="l"/>
          <a:r>
            <a:rPr lang="en-US" sz="1100" b="0"/>
            <a:t>b. Portland and Miami are again nearly equal at $50,208.35 and $50,145.33 — consistent with what was seen in the cities revenue chart.</a:t>
          </a:r>
        </a:p>
        <a:p>
          <a:pPr algn="l"/>
          <a:endParaRPr lang="en-US" sz="1100" b="0"/>
        </a:p>
        <a:p>
          <a:pPr algn="l"/>
          <a:r>
            <a:rPr lang="en-US" sz="1100" b="0"/>
            <a:t>c. Milwaukee is the lowest shipping city at $37,428.00, sitting noticeably closer to the centre of the radar compared to the others.</a:t>
          </a:r>
        </a:p>
        <a:p>
          <a:pPr algn="l"/>
          <a:endParaRPr lang="en-US" sz="1100" b="0"/>
        </a:p>
        <a:p>
          <a:pPr algn="l"/>
          <a:r>
            <a:rPr lang="en-US" sz="1100" b="0"/>
            <a:t>d. Chicago ($41,095.01) and Memphis ($43,713.00) fall in the lower-middle range, both closer to Milwaukee than to the top performers.</a:t>
          </a:r>
        </a:p>
        <a:p>
          <a:pPr algn="l"/>
          <a:endParaRPr lang="en-US" sz="1100" b="0"/>
        </a:p>
        <a:p>
          <a:pPr algn="l"/>
          <a:r>
            <a:rPr lang="en-US" sz="1100" b="0"/>
            <a:t>e. This is the first chart where Milwaukee appears as a city, not previously seen in the top 5 cities by revenue chart — suggesting it ranks 6th specifically for shipping destinations.</a:t>
          </a:r>
        </a:p>
        <a:p>
          <a:pPr algn="l"/>
          <a:endParaRPr lang="en-US" sz="1100" b="0"/>
        </a:p>
        <a:p>
          <a:pPr algn="l"/>
          <a:endParaRPr lang="en-US" sz="1100" b="0"/>
        </a:p>
        <a:p>
          <a:pPr algn="l"/>
          <a:endParaRPr lang="en-US" sz="1100" b="0"/>
        </a:p>
        <a:p>
          <a:pPr algn="l"/>
          <a:endParaRPr lang="en-US" sz="1100" b="1"/>
        </a:p>
        <a:p>
          <a:pPr algn="l"/>
          <a:endParaRPr lang="en-US" sz="1100" b="1"/>
        </a:p>
        <a:p>
          <a:pPr algn="l"/>
          <a:endParaRPr lang="en-US" sz="1100" b="1"/>
        </a:p>
        <a:p>
          <a:pPr algn="l"/>
          <a:endParaRPr lang="en-US" sz="1100" b="1"/>
        </a:p>
        <a:p>
          <a:pPr algn="l"/>
          <a:endParaRPr lang="en-US" sz="1100" b="1"/>
        </a:p>
        <a:p>
          <a:pPr algn="l"/>
          <a:endParaRPr lang="en-US" sz="1100" b="1"/>
        </a:p>
        <a:p>
          <a:pPr algn="l"/>
          <a:endParaRPr lang="en-US" sz="1100" b="1"/>
        </a:p>
        <a:p>
          <a:pPr algn="l"/>
          <a:endParaRPr lang="en-US" sz="1100" b="1"/>
        </a:p>
        <a:p>
          <a:pPr algn="l"/>
          <a:r>
            <a:rPr lang="en-US" sz="1100" b="1"/>
            <a:t>9. Resolution for Transaction by amount </a:t>
          </a:r>
        </a:p>
        <a:p>
          <a:pPr algn="l"/>
          <a:endParaRPr lang="en-US" sz="1100" b="0"/>
        </a:p>
        <a:p>
          <a:pPr algn="l"/>
          <a:r>
            <a:rPr lang="en-US" sz="1100" b="0"/>
            <a:t>a. The $10–$1,010 range has by far the highest number of transactions at 221, dwarfing all other ranges.</a:t>
          </a:r>
        </a:p>
        <a:p>
          <a:pPr algn="l"/>
          <a:endParaRPr lang="en-US" sz="1100" b="0"/>
        </a:p>
        <a:p>
          <a:pPr algn="l"/>
          <a:r>
            <a:rPr lang="en-US" sz="1100" b="0"/>
            <a:t>b. The $1,010–$2,010 range is second with 82 transactions — less than half of the first bracket.</a:t>
          </a:r>
        </a:p>
        <a:p>
          <a:pPr algn="l"/>
          <a:endParaRPr lang="en-US" sz="1100" b="0"/>
        </a:p>
        <a:p>
          <a:pPr algn="l"/>
          <a:r>
            <a:rPr lang="en-US" sz="1100" b="0"/>
            <a:t>c. There is a consistent and steep decline across each bracket: 221 → 82 → 32 → 23 → 8 → 2 → 1.</a:t>
          </a:r>
        </a:p>
        <a:p>
          <a:pPr algn="l"/>
          <a:endParaRPr lang="en-US" sz="1100" b="0"/>
        </a:p>
        <a:p>
          <a:pPr algn="l"/>
          <a:r>
            <a:rPr lang="en-US" sz="1100" b="0"/>
            <a:t>d. The $3,010–$4,010 range (23 transactions) is close to the $2,010–$3,010 range (32 transactions), making these two the most similar adjacent brackets.</a:t>
          </a:r>
        </a:p>
        <a:p>
          <a:pPr algn="l"/>
          <a:endParaRPr lang="en-US" sz="1100" b="0"/>
        </a:p>
        <a:p>
          <a:pPr algn="l"/>
          <a:r>
            <a:rPr lang="en-US" sz="1100" b="0"/>
            <a:t>e. Transactions virtually disappear beyond $4,010 — only 8 in the $4,010–$5,010 range, 2 in $6,010–$7,010, and just 1 in $7,010–$8,010.</a:t>
          </a:r>
        </a:p>
        <a:p>
          <a:pPr algn="l"/>
          <a:endParaRPr lang="en-US" sz="1100" b="0"/>
        </a:p>
        <a:p>
          <a:pPr algn="l"/>
          <a:r>
            <a:rPr lang="en-US" sz="1100" b="0"/>
            <a:t>f. There is a notable gap — no bar is visible for the $5,010–$6,010 range, suggesting zero transactions in that bracket.</a:t>
          </a:r>
        </a:p>
        <a:p>
          <a:pPr algn="l"/>
          <a:endParaRPr lang="en-US" sz="1100" b="0"/>
        </a:p>
        <a:p>
          <a:pPr algn="l"/>
          <a:r>
            <a:rPr lang="en-US" sz="1100" b="0"/>
            <a:t>g. The total number of transactions across all brackets appears to be around 369.</a:t>
          </a:r>
        </a:p>
        <a:p>
          <a:pPr algn="l"/>
          <a:endParaRPr lang="en-US" sz="1100" b="0"/>
        </a:p>
      </xdr:txBody>
    </xdr:sp>
    <xdr:clientData/>
  </xdr:twoCellAnchor>
  <xdr:twoCellAnchor>
    <xdr:from>
      <xdr:col>8</xdr:col>
      <xdr:colOff>281940</xdr:colOff>
      <xdr:row>0</xdr:row>
      <xdr:rowOff>0</xdr:rowOff>
    </xdr:from>
    <xdr:to>
      <xdr:col>16</xdr:col>
      <xdr:colOff>205740</xdr:colOff>
      <xdr:row>208</xdr:row>
      <xdr:rowOff>130628</xdr:rowOff>
    </xdr:to>
    <xdr:sp macro="" textlink="">
      <xdr:nvSpPr>
        <xdr:cNvPr id="5" name="Rectangle 4">
          <a:extLst>
            <a:ext uri="{FF2B5EF4-FFF2-40B4-BE49-F238E27FC236}">
              <a16:creationId xmlns:a16="http://schemas.microsoft.com/office/drawing/2014/main" id="{6B989E96-EB2A-40C9-9790-3C16635FBB59}"/>
            </a:ext>
          </a:extLst>
        </xdr:cNvPr>
        <xdr:cNvSpPr/>
      </xdr:nvSpPr>
      <xdr:spPr>
        <a:xfrm>
          <a:off x="5158740" y="0"/>
          <a:ext cx="4800600" cy="38622514"/>
        </a:xfrm>
        <a:prstGeom prst="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235733"/>
              </a:solidFill>
            </a:rPr>
            <a:t>IN</a:t>
          </a:r>
          <a:r>
            <a:rPr lang="en-US" sz="1100" b="1" baseline="0">
              <a:solidFill>
                <a:srgbClr val="235733"/>
              </a:solidFill>
            </a:rPr>
            <a:t> ANALYSIS PRE INSIGHT BOARD</a:t>
          </a:r>
        </a:p>
        <a:p>
          <a:pPr algn="l"/>
          <a:endParaRPr lang="en-US" sz="1100" baseline="0">
            <a:solidFill>
              <a:srgbClr val="235733"/>
            </a:solidFill>
          </a:endParaRPr>
        </a:p>
        <a:p>
          <a:pPr algn="l"/>
          <a:r>
            <a:rPr lang="en-US" sz="1100" b="1" baseline="0">
              <a:solidFill>
                <a:srgbClr val="235733"/>
              </a:solidFill>
            </a:rPr>
            <a:t>1. Regional Pre Insight</a:t>
          </a:r>
        </a:p>
        <a:p>
          <a:pPr algn="l"/>
          <a:endParaRPr lang="en-US" sz="1100" baseline="0">
            <a:solidFill>
              <a:srgbClr val="235733"/>
            </a:solidFill>
          </a:endParaRPr>
        </a:p>
        <a:p>
          <a:pPr algn="l"/>
          <a:r>
            <a:rPr lang="en-US" sz="1100" baseline="0">
              <a:solidFill>
                <a:srgbClr val="235733"/>
              </a:solidFill>
            </a:rPr>
            <a:t>a. </a:t>
          </a:r>
          <a:r>
            <a:rPr lang="en-US" sz="1100">
              <a:solidFill>
                <a:srgbClr val="235733"/>
              </a:solidFill>
            </a:rPr>
            <a:t>North's strong lead could mean it has more sales reps, a larger customer base, better marketing investment, or a more established market presence.</a:t>
          </a:r>
          <a:r>
            <a:rPr lang="en-US" sz="1100" baseline="0">
              <a:solidFill>
                <a:srgbClr val="235733"/>
              </a:solidFill>
            </a:rPr>
            <a:t> It is</a:t>
          </a:r>
          <a:r>
            <a:rPr lang="en-US" sz="1100">
              <a:solidFill>
                <a:srgbClr val="235733"/>
              </a:solidFill>
            </a:rPr>
            <a:t> worth checking for one of these contributing factors. </a:t>
          </a:r>
        </a:p>
        <a:p>
          <a:pPr algn="l"/>
          <a:endParaRPr lang="en-US" sz="1100">
            <a:solidFill>
              <a:srgbClr val="235733"/>
            </a:solidFill>
          </a:endParaRPr>
        </a:p>
        <a:p>
          <a:pPr algn="l"/>
          <a:r>
            <a:rPr lang="en-US" sz="1100">
              <a:solidFill>
                <a:srgbClr val="235733"/>
              </a:solidFill>
            </a:rPr>
            <a:t>b. The close performance between South and West might suggest these regions have similar market sizes, similar challenges, or are both under-resourced compared to North and East. If North is performing significantly better with similar resources to other regions, this could be a model to replicate elsewhere. </a:t>
          </a:r>
        </a:p>
        <a:p>
          <a:pPr algn="l"/>
          <a:endParaRPr lang="en-US" sz="1100">
            <a:solidFill>
              <a:srgbClr val="235733"/>
            </a:solidFill>
          </a:endParaRPr>
        </a:p>
        <a:p>
          <a:pPr algn="l"/>
          <a:r>
            <a:rPr lang="en-US" sz="1100">
              <a:solidFill>
                <a:srgbClr val="235733"/>
              </a:solidFill>
            </a:rPr>
            <a:t>c. The total combined value ($435,066) could be checked against company targets to see if overall performance is on track, regardless of regional imbalance. </a:t>
          </a:r>
        </a:p>
        <a:p>
          <a:pPr algn="l"/>
          <a:endParaRPr lang="en-US" sz="1100">
            <a:solidFill>
              <a:srgbClr val="235733"/>
            </a:solidFill>
          </a:endParaRPr>
        </a:p>
        <a:p>
          <a:pPr algn="l"/>
          <a:r>
            <a:rPr lang="en-US" sz="1100">
              <a:solidFill>
                <a:srgbClr val="235733"/>
              </a:solidFill>
            </a:rPr>
            <a:t>d. It may be worth investigating whether South and West's lower numbers are due to smaller market size (less opportunity) or underperformance (missed opportunity) and these would call for very different actions</a:t>
          </a:r>
        </a:p>
        <a:p>
          <a:pPr algn="l"/>
          <a:endParaRPr lang="en-US" sz="1100" baseline="0">
            <a:solidFill>
              <a:srgbClr val="235733"/>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rgbClr val="235733"/>
              </a:solidFill>
              <a:effectLst/>
              <a:latin typeface="+mn-lt"/>
              <a:ea typeface="+mn-ea"/>
              <a:cs typeface="+mn-cs"/>
            </a:rPr>
            <a:t>2. Salesperson Pre Insight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rgbClr val="235733"/>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rgbClr val="235733"/>
              </a:solidFill>
              <a:effectLst/>
              <a:latin typeface="+mn-lt"/>
              <a:ea typeface="+mn-ea"/>
              <a:cs typeface="+mn-cs"/>
            </a:rPr>
            <a:t>a. </a:t>
          </a:r>
          <a:r>
            <a:rPr lang="en-US" sz="1100">
              <a:solidFill>
                <a:srgbClr val="235733"/>
              </a:solidFill>
            </a:rPr>
            <a:t>Nancy and Anne's significantly higher numbers might mean they handle bigger accounts/territories, have more experience, or were given stronger leads — worth checking tenure or assigned accounts.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rgbClr val="235733"/>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235733"/>
              </a:solidFill>
            </a:rPr>
            <a:t>b.The big drop-off after the top two could suggest the company relies heavily on a small number of high performers, which may be a risk if either leaves.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rgbClr val="235733"/>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235733"/>
              </a:solidFill>
            </a:rPr>
            <a:t>c. Jan Kotas's unusually low figure might indicate they're new to the role, part-time, recently transferred, or facing a performance issue — context on tenure would clarify this.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rgbClr val="235733"/>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235733"/>
              </a:solidFill>
            </a:rPr>
            <a:t>d. The cluster of mid-range performers (Mariya, Laura) might reflect a "typical" performance baseline for the role, useful for setting realistic targets.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rgbClr val="235733"/>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rgbClr val="235733"/>
              </a:solidFill>
            </a:rPr>
            <a:t>e.It could be worth checking whether higher sales correlate with specific regions e.g., are Nancy and Anne tied to the North region that's outperforming?</a:t>
          </a:r>
          <a:endParaRPr lang="en-NG" sz="1100">
            <a:solidFill>
              <a:srgbClr val="235733"/>
            </a:solidFill>
            <a:effectLst/>
          </a:endParaRPr>
        </a:p>
        <a:p>
          <a:pPr algn="l"/>
          <a:endParaRPr lang="en-US" sz="1100" baseline="0">
            <a:solidFill>
              <a:srgbClr val="235733"/>
            </a:solidFill>
          </a:endParaRPr>
        </a:p>
        <a:p>
          <a:pPr algn="l"/>
          <a:endParaRPr lang="en-US" sz="1100" b="1" baseline="0">
            <a:solidFill>
              <a:srgbClr val="235733"/>
            </a:solidFill>
          </a:endParaRPr>
        </a:p>
        <a:p>
          <a:pPr algn="l"/>
          <a:r>
            <a:rPr lang="en-US" sz="1100" b="1" baseline="0">
              <a:solidFill>
                <a:srgbClr val="235733"/>
              </a:solidFill>
            </a:rPr>
            <a:t>3. Top 10 customers Pre Insight</a:t>
          </a:r>
        </a:p>
        <a:p>
          <a:pPr algn="l"/>
          <a:endParaRPr lang="en-US" sz="1100" b="1" baseline="0">
            <a:solidFill>
              <a:srgbClr val="235733"/>
            </a:solidFill>
          </a:endParaRPr>
        </a:p>
        <a:p>
          <a:pPr algn="l"/>
          <a:r>
            <a:rPr lang="en-US" sz="1100" b="0" baseline="0">
              <a:solidFill>
                <a:srgbClr val="235733"/>
              </a:solidFill>
            </a:rPr>
            <a:t>a. Company D's lead might mean they place larger orders, buy more frequently, or have a long-standing relationship with the company — checking order frequency vs. order size could reveal which.</a:t>
          </a:r>
        </a:p>
        <a:p>
          <a:pPr algn="l"/>
          <a:endParaRPr lang="en-US" sz="1100" b="0" baseline="0">
            <a:solidFill>
              <a:srgbClr val="235733"/>
            </a:solidFill>
          </a:endParaRPr>
        </a:p>
        <a:p>
          <a:pPr algn="l"/>
          <a:r>
            <a:rPr lang="en-US" sz="1100" b="0" baseline="0">
              <a:solidFill>
                <a:srgbClr val="235733"/>
              </a:solidFill>
            </a:rPr>
            <a:t>b. The steady decline across all 10 suggests no single customer is dangerously dominant, which is a healthy sign, the business isn't over-reliant on one account.</a:t>
          </a:r>
        </a:p>
        <a:p>
          <a:pPr algn="l"/>
          <a:endParaRPr lang="en-US" sz="1100" b="0" baseline="0">
            <a:solidFill>
              <a:srgbClr val="235733"/>
            </a:solidFill>
          </a:endParaRPr>
        </a:p>
        <a:p>
          <a:pPr algn="l"/>
          <a:r>
            <a:rPr lang="en-US" sz="1100" b="0" baseline="0">
              <a:solidFill>
                <a:srgbClr val="235733"/>
              </a:solidFill>
            </a:rPr>
            <a:t>c. However, the top 3 customers likely contribute a disproportionate share of total revenue — losing any one of them could be a significant risk. </a:t>
          </a:r>
        </a:p>
        <a:p>
          <a:pPr algn="l"/>
          <a:endParaRPr lang="en-US" sz="1100" b="0" baseline="0">
            <a:solidFill>
              <a:srgbClr val="235733"/>
            </a:solidFill>
          </a:endParaRPr>
        </a:p>
        <a:p>
          <a:pPr algn="l"/>
          <a:r>
            <a:rPr lang="en-US" sz="1100" b="0" baseline="0">
              <a:solidFill>
                <a:srgbClr val="235733"/>
              </a:solidFill>
            </a:rPr>
            <a:t>d. The tight clustering of Companies F, A, and I might mean these customers have similar purchasing patterns or budgets — they could potentially be upsold using the same strategy.</a:t>
          </a:r>
        </a:p>
        <a:p>
          <a:pPr algn="l"/>
          <a:endParaRPr lang="en-US" sz="1100" b="0" baseline="0">
            <a:solidFill>
              <a:srgbClr val="235733"/>
            </a:solidFill>
          </a:endParaRPr>
        </a:p>
        <a:p>
          <a:pPr algn="l"/>
          <a:endParaRPr lang="en-US" sz="1100" b="0" baseline="0">
            <a:solidFill>
              <a:srgbClr val="235733"/>
            </a:solidFill>
          </a:endParaRPr>
        </a:p>
        <a:p>
          <a:pPr algn="l"/>
          <a:endParaRPr lang="en-US" sz="1100" b="1" baseline="0">
            <a:solidFill>
              <a:srgbClr val="235733"/>
            </a:solidFill>
          </a:endParaRPr>
        </a:p>
        <a:p>
          <a:pPr algn="l"/>
          <a:r>
            <a:rPr lang="en-US" sz="1100" b="1" baseline="0">
              <a:solidFill>
                <a:srgbClr val="235733"/>
              </a:solidFill>
            </a:rPr>
            <a:t>4. Sales trend Pre Insight</a:t>
          </a:r>
        </a:p>
        <a:p>
          <a:pPr algn="l"/>
          <a:endParaRPr lang="en-US" sz="1100" b="1" baseline="0">
            <a:solidFill>
              <a:srgbClr val="235733"/>
            </a:solidFill>
          </a:endParaRPr>
        </a:p>
        <a:p>
          <a:pPr algn="l"/>
          <a:r>
            <a:rPr lang="en-US" sz="1100" baseline="0">
              <a:solidFill>
                <a:srgbClr val="235733"/>
              </a:solidFill>
            </a:rPr>
            <a:t>a. The June and December peaks likely align with seasonal demand — mid-year and end-of-year periods are commonly strong for businesses due to promotions, budget cycles, or holiday-related purchasing.</a:t>
          </a:r>
        </a:p>
        <a:p>
          <a:pPr algn="l"/>
          <a:endParaRPr lang="en-US" sz="1100" baseline="0">
            <a:solidFill>
              <a:srgbClr val="235733"/>
            </a:solidFill>
          </a:endParaRPr>
        </a:p>
        <a:p>
          <a:pPr algn="l"/>
          <a:r>
            <a:rPr lang="en-US" sz="1100" baseline="0">
              <a:solidFill>
                <a:srgbClr val="235733"/>
              </a:solidFill>
            </a:rPr>
            <a:t>b. The sharp July drop after June's peak could suggest June sales were driven by a one-time push (e.g., a promotion or bulk order) rather than organic growth, causing a correction in July.</a:t>
          </a:r>
        </a:p>
        <a:p>
          <a:pPr algn="l"/>
          <a:endParaRPr lang="en-US" sz="1100" baseline="0">
            <a:solidFill>
              <a:srgbClr val="235733"/>
            </a:solidFill>
          </a:endParaRPr>
        </a:p>
        <a:p>
          <a:pPr algn="l"/>
          <a:r>
            <a:rPr lang="en-US" sz="1100" baseline="0">
              <a:solidFill>
                <a:srgbClr val="235733"/>
              </a:solidFill>
            </a:rPr>
            <a:t>c. The overall upward trend line is a positive signal — even with dips, the business seems to be growing across the year, which is worth highlighting in the final dashboard.</a:t>
          </a:r>
        </a:p>
        <a:p>
          <a:pPr algn="l"/>
          <a:endParaRPr lang="en-US" sz="1100" baseline="0">
            <a:solidFill>
              <a:srgbClr val="235733"/>
            </a:solidFill>
          </a:endParaRPr>
        </a:p>
        <a:p>
          <a:pPr algn="l"/>
          <a:r>
            <a:rPr lang="en-US" sz="1100" baseline="0">
              <a:solidFill>
                <a:srgbClr val="235733"/>
              </a:solidFill>
            </a:rPr>
            <a:t>d. The weak Q1 (Jan–Apr) could point to a slow start pattern every year — if this repeats annually, the company could plan targeted campaigns in early months to reduce that dip.</a:t>
          </a:r>
        </a:p>
        <a:p>
          <a:pPr algn="l"/>
          <a:endParaRPr lang="en-US" sz="1100" baseline="0">
            <a:solidFill>
              <a:srgbClr val="235733"/>
            </a:solidFill>
          </a:endParaRPr>
        </a:p>
        <a:p>
          <a:pPr algn="l"/>
          <a:r>
            <a:rPr lang="en-US" sz="1100" baseline="0">
              <a:solidFill>
                <a:srgbClr val="235733"/>
              </a:solidFill>
            </a:rPr>
            <a:t>e. November's low figure before December's surge is worth investigating — it could mean customers deliberately delayed purchases into December, possibly due to end-of-year discounts or budget releases.</a:t>
          </a:r>
        </a:p>
        <a:p>
          <a:pPr algn="l"/>
          <a:endParaRPr lang="en-US" sz="1100" baseline="0">
            <a:solidFill>
              <a:srgbClr val="235733"/>
            </a:solidFill>
          </a:endParaRPr>
        </a:p>
        <a:p>
          <a:pPr algn="l"/>
          <a:r>
            <a:rPr lang="en-US" sz="1100" baseline="0">
              <a:solidFill>
                <a:srgbClr val="235733"/>
              </a:solidFill>
            </a:rPr>
            <a:t>f. If December's high is driven by a small number of large orders rather than broad customer activity, it may not be as strong a signal as it appears on the surface.</a:t>
          </a:r>
        </a:p>
        <a:p>
          <a:pPr algn="l"/>
          <a:endParaRPr lang="en-US" sz="1100" baseline="0">
            <a:solidFill>
              <a:srgbClr val="235733"/>
            </a:solidFill>
          </a:endParaRPr>
        </a:p>
        <a:p>
          <a:pPr algn="l"/>
          <a:endParaRPr lang="en-US" sz="1100" baseline="0">
            <a:solidFill>
              <a:srgbClr val="235733"/>
            </a:solidFill>
          </a:endParaRPr>
        </a:p>
        <a:p>
          <a:pPr algn="l"/>
          <a:r>
            <a:rPr lang="en-US" sz="1100" b="1" baseline="0">
              <a:solidFill>
                <a:srgbClr val="235733"/>
              </a:solidFill>
            </a:rPr>
            <a:t>5. Product Category Pre Insight</a:t>
          </a:r>
        </a:p>
        <a:p>
          <a:pPr algn="l"/>
          <a:endParaRPr lang="en-US" sz="1100" b="1" baseline="0">
            <a:solidFill>
              <a:srgbClr val="235733"/>
            </a:solidFill>
          </a:endParaRPr>
        </a:p>
        <a:p>
          <a:pPr algn="l"/>
          <a:r>
            <a:rPr lang="en-US" sz="1100" b="0" baseline="0">
              <a:solidFill>
                <a:srgbClr val="235733"/>
              </a:solidFill>
            </a:rPr>
            <a:t>a. Beverages and Sauces being the dominant categories suggests these are likely the company's core product lines — most marketing, stocking, and sales effort probably revolves around them.</a:t>
          </a:r>
        </a:p>
        <a:p>
          <a:pPr algn="l"/>
          <a:endParaRPr lang="en-US" sz="1100" b="0" baseline="0">
            <a:solidFill>
              <a:srgbClr val="235733"/>
            </a:solidFill>
          </a:endParaRPr>
        </a:p>
        <a:p>
          <a:pPr algn="l"/>
          <a:r>
            <a:rPr lang="en-US" sz="1100" b="0" baseline="0">
              <a:solidFill>
                <a:srgbClr val="235733"/>
              </a:solidFill>
            </a:rPr>
            <a:t>b. The relatively small size of Canned Meat and Dried Fruit &amp; Nuts could mean these are niche offerings, newer product lines, or simply categories with lower demand in the company's target market.</a:t>
          </a:r>
        </a:p>
        <a:p>
          <a:pPr algn="l"/>
          <a:endParaRPr lang="en-US" sz="1100" b="0" baseline="0">
            <a:solidFill>
              <a:srgbClr val="235733"/>
            </a:solidFill>
          </a:endParaRPr>
        </a:p>
        <a:p>
          <a:pPr algn="l"/>
          <a:r>
            <a:rPr lang="en-US" sz="1100" b="0" baseline="0">
              <a:solidFill>
                <a:srgbClr val="235733"/>
              </a:solidFill>
            </a:rPr>
            <a:t>c. It would be worth checking whether Beverages' dominance is driven by high volume (many small purchases) or high value (fewer but expensive orders) — the strategy to maintain or grow that category depends on which it is.</a:t>
          </a:r>
        </a:p>
        <a:p>
          <a:pPr algn="l"/>
          <a:endParaRPr lang="en-US" sz="1100" b="0" baseline="0">
            <a:solidFill>
              <a:srgbClr val="235733"/>
            </a:solidFill>
          </a:endParaRPr>
        </a:p>
        <a:p>
          <a:pPr algn="l"/>
          <a:r>
            <a:rPr lang="en-US" sz="1100" b="0" baseline="0">
              <a:solidFill>
                <a:srgbClr val="235733"/>
              </a:solidFill>
            </a:rPr>
            <a:t>d. Jams &amp; Preserves and Dairy Products being mid-range could indicate growth potential — they're not struggling but aren't leading either, meaning targeted promotion could push them up.</a:t>
          </a:r>
        </a:p>
        <a:p>
          <a:pPr algn="l"/>
          <a:endParaRPr lang="en-US" sz="1100" b="0" baseline="0">
            <a:solidFill>
              <a:srgbClr val="235733"/>
            </a:solidFill>
          </a:endParaRPr>
        </a:p>
        <a:p>
          <a:pPr algn="l"/>
          <a:r>
            <a:rPr lang="en-US" sz="1100" b="0" baseline="0">
              <a:solidFill>
                <a:srgbClr val="235733"/>
              </a:solidFill>
            </a:rPr>
            <a:t>e. If Canned Meat continues to underperform, the company may need to decide whether to invest in growing it or gradually phase it out in favour of stronger categories</a:t>
          </a:r>
          <a:r>
            <a:rPr lang="en-US" sz="1100" b="1" baseline="0">
              <a:solidFill>
                <a:srgbClr val="235733"/>
              </a:solidFill>
            </a:rPr>
            <a:t>.</a:t>
          </a:r>
        </a:p>
        <a:p>
          <a:pPr algn="l"/>
          <a:endParaRPr lang="en-US" sz="1100" b="1" baseline="0">
            <a:solidFill>
              <a:srgbClr val="235733"/>
            </a:solidFill>
          </a:endParaRPr>
        </a:p>
        <a:p>
          <a:pPr algn="l"/>
          <a:endParaRPr lang="en-US" sz="1100" b="1" baseline="0">
            <a:solidFill>
              <a:srgbClr val="235733"/>
            </a:solidFill>
          </a:endParaRPr>
        </a:p>
        <a:p>
          <a:pPr algn="l"/>
          <a:r>
            <a:rPr lang="en-US" sz="1100" b="1" baseline="0">
              <a:solidFill>
                <a:srgbClr val="235733"/>
              </a:solidFill>
            </a:rPr>
            <a:t>6. States Performance by Revenue Pre Insight</a:t>
          </a:r>
        </a:p>
        <a:p>
          <a:pPr algn="l"/>
          <a:endParaRPr lang="en-US" sz="1100" baseline="0">
            <a:solidFill>
              <a:srgbClr val="235733"/>
            </a:solidFill>
          </a:endParaRPr>
        </a:p>
        <a:p>
          <a:pPr algn="l"/>
          <a:r>
            <a:rPr lang="en-US" sz="1100" baseline="0">
              <a:solidFill>
                <a:srgbClr val="235733"/>
              </a:solidFill>
            </a:rPr>
            <a:t>a. New York's top position likely reflects a large, dense customer base and stronger commercial activity — it may also be where the company's biggest accounts or most experienced salesperson operates.</a:t>
          </a:r>
        </a:p>
        <a:p>
          <a:pPr algn="l"/>
          <a:endParaRPr lang="en-US" sz="1100" baseline="0">
            <a:solidFill>
              <a:srgbClr val="235733"/>
            </a:solidFill>
          </a:endParaRPr>
        </a:p>
        <a:p>
          <a:pPr algn="l"/>
          <a:r>
            <a:rPr lang="en-US" sz="1100" baseline="0">
              <a:solidFill>
                <a:srgbClr val="235733"/>
              </a:solidFill>
            </a:rPr>
            <a:t>b. The fact that only about 11 states are generating revenue suggests the company is still in an early or selective expansion phase — there is significant untapped geographic potential across the US.</a:t>
          </a:r>
        </a:p>
        <a:p>
          <a:pPr algn="l"/>
          <a:endParaRPr lang="en-US" sz="1100" baseline="0">
            <a:solidFill>
              <a:srgbClr val="235733"/>
            </a:solidFill>
          </a:endParaRPr>
        </a:p>
        <a:p>
          <a:pPr algn="l"/>
          <a:r>
            <a:rPr lang="en-US" sz="1100" baseline="0">
              <a:solidFill>
                <a:srgbClr val="235733"/>
              </a:solidFill>
            </a:rPr>
            <a:t>c. Oregon's strong performance relative to neighbouring states (Nevada, Idaho, California) could mean the company has a particularly strong sales presence or key accounts specifically in Oregon.</a:t>
          </a:r>
        </a:p>
        <a:p>
          <a:pPr algn="l"/>
          <a:endParaRPr lang="en-US" sz="1100" baseline="0">
            <a:solidFill>
              <a:srgbClr val="235733"/>
            </a:solidFill>
          </a:endParaRPr>
        </a:p>
        <a:p>
          <a:pPr algn="l"/>
          <a:r>
            <a:rPr lang="en-US" sz="1100" baseline="0">
              <a:solidFill>
                <a:srgbClr val="235733"/>
              </a:solidFill>
            </a:rPr>
            <a:t>d. Nevada and Colorado's low figures despite being active states could indicate these markets are newly entered, poorly resourced, or simply weaker fits for the company's products.</a:t>
          </a:r>
        </a:p>
        <a:p>
          <a:pPr algn="l"/>
          <a:endParaRPr lang="en-US" sz="1100" baseline="0">
            <a:solidFill>
              <a:srgbClr val="235733"/>
            </a:solidFill>
          </a:endParaRPr>
        </a:p>
        <a:p>
          <a:pPr algn="l"/>
          <a:r>
            <a:rPr lang="en-US" sz="1100" baseline="0">
              <a:solidFill>
                <a:srgbClr val="235733"/>
              </a:solidFill>
            </a:rPr>
            <a:t>e. Cross-referencing with the salesperson chart could reveal whether New York's dominance ties directly to Nancy Freehafer — since her figure ($104,252.34) is the highest and New York is the top state, there may be a direct link.</a:t>
          </a:r>
        </a:p>
        <a:p>
          <a:pPr algn="l"/>
          <a:endParaRPr lang="en-US" sz="1100" baseline="0">
            <a:solidFill>
              <a:srgbClr val="235733"/>
            </a:solidFill>
          </a:endParaRPr>
        </a:p>
        <a:p>
          <a:pPr algn="l"/>
          <a:r>
            <a:rPr lang="en-US" sz="1100" baseline="0">
              <a:solidFill>
                <a:srgbClr val="235733"/>
              </a:solidFill>
            </a:rPr>
            <a:t>f. The absence of major commercial states like Texas, Pennsylvania, Ohio, and Georgia from the map is worth flagging — these represent potentially high-value markets the company has not yet penetrated.</a:t>
          </a:r>
        </a:p>
        <a:p>
          <a:pPr algn="l"/>
          <a:endParaRPr lang="en-US" sz="1100" baseline="0">
            <a:solidFill>
              <a:srgbClr val="235733"/>
            </a:solidFill>
          </a:endParaRPr>
        </a:p>
        <a:p>
          <a:pPr algn="l"/>
          <a:r>
            <a:rPr lang="en-US" sz="1100" baseline="0">
              <a:solidFill>
                <a:srgbClr val="235733"/>
              </a:solidFill>
            </a:rPr>
            <a:t>g. The geographic spread of active states with no clear regional cluster could mean the company's growth has been relationship-driven rather than territory-planned, which may be worth addressing in future sales strategy.</a:t>
          </a:r>
        </a:p>
        <a:p>
          <a:pPr algn="l"/>
          <a:endParaRPr lang="en-US" sz="1100" baseline="0">
            <a:solidFill>
              <a:srgbClr val="235733"/>
            </a:solidFill>
          </a:endParaRPr>
        </a:p>
        <a:p>
          <a:pPr algn="l"/>
          <a:endParaRPr lang="en-US" sz="1100" baseline="0">
            <a:solidFill>
              <a:srgbClr val="235733"/>
            </a:solidFill>
          </a:endParaRPr>
        </a:p>
        <a:p>
          <a:pPr algn="l"/>
          <a:r>
            <a:rPr lang="en-US" sz="1100" b="1" baseline="0">
              <a:solidFill>
                <a:srgbClr val="235733"/>
              </a:solidFill>
            </a:rPr>
            <a:t>7. Top 5 cities by Revenue Pre-insights</a:t>
          </a:r>
        </a:p>
        <a:p>
          <a:pPr algn="l"/>
          <a:endParaRPr lang="en-US" sz="1100" baseline="0">
            <a:solidFill>
              <a:srgbClr val="235733"/>
            </a:solidFill>
          </a:endParaRPr>
        </a:p>
        <a:p>
          <a:pPr algn="l"/>
          <a:r>
            <a:rPr lang="en-US" sz="1100" baseline="0">
              <a:solidFill>
                <a:srgbClr val="235733"/>
              </a:solidFill>
            </a:rPr>
            <a:t>a. New York's dominance at city level confirms and reinforces what was seen at state level — it is clearly the company's strongest and most important single market.</a:t>
          </a:r>
        </a:p>
        <a:p>
          <a:pPr algn="l"/>
          <a:endParaRPr lang="en-US" sz="1100" baseline="0">
            <a:solidFill>
              <a:srgbClr val="235733"/>
            </a:solidFill>
          </a:endParaRPr>
        </a:p>
        <a:p>
          <a:pPr algn="l"/>
          <a:r>
            <a:rPr lang="en-US" sz="1100" baseline="0">
              <a:solidFill>
                <a:srgbClr val="235733"/>
              </a:solidFill>
            </a:rPr>
            <a:t>b. Portland and Miami being nearly tied is striking — it may suggest both cities have similar customer bases, similar account sizes, or are managed with comparable sales effort and resources.</a:t>
          </a:r>
        </a:p>
        <a:p>
          <a:pPr algn="l"/>
          <a:endParaRPr lang="en-US" sz="1100" baseline="0">
            <a:solidFill>
              <a:srgbClr val="235733"/>
            </a:solidFill>
          </a:endParaRPr>
        </a:p>
        <a:p>
          <a:pPr algn="l"/>
          <a:r>
            <a:rPr lang="en-US" sz="1100" baseline="0">
              <a:solidFill>
                <a:srgbClr val="235733"/>
              </a:solidFill>
            </a:rPr>
            <a:t>c. Chicago's relatively low figure is worth noting given it is one of the largest commercial cities in the US — this could mean the company is underperforming in a high-potential market, or that their product category has lower demand there.</a:t>
          </a:r>
        </a:p>
        <a:p>
          <a:pPr algn="l"/>
          <a:endParaRPr lang="en-US" sz="1100" baseline="0">
            <a:solidFill>
              <a:srgbClr val="235733"/>
            </a:solidFill>
          </a:endParaRPr>
        </a:p>
        <a:p>
          <a:pPr algn="l"/>
          <a:r>
            <a:rPr lang="en-US" sz="1100" baseline="0">
              <a:solidFill>
                <a:srgbClr val="235733"/>
              </a:solidFill>
            </a:rPr>
            <a:t>d. Memphis appearing in the top 5 is interesting since it is not typically considered a major commercial hub — this could point to a specific key account or long-standing customer relationship driving that figure rather than broad market activity.</a:t>
          </a:r>
        </a:p>
        <a:p>
          <a:pPr algn="l"/>
          <a:endParaRPr lang="en-US" sz="1100" baseline="0">
            <a:solidFill>
              <a:srgbClr val="235733"/>
            </a:solidFill>
          </a:endParaRPr>
        </a:p>
        <a:p>
          <a:pPr algn="l"/>
          <a:r>
            <a:rPr lang="en-US" sz="1100" baseline="0">
              <a:solidFill>
                <a:srgbClr val="235733"/>
              </a:solidFill>
            </a:rPr>
            <a:t>e. Cross-referencing with the salesperson data could reveal which salesperson is responsible for New York — confirming whether one person is single-handedly driving the company's top city performance.</a:t>
          </a:r>
        </a:p>
        <a:p>
          <a:pPr algn="l"/>
          <a:endParaRPr lang="en-US" sz="1100" baseline="0">
            <a:solidFill>
              <a:srgbClr val="235733"/>
            </a:solidFill>
          </a:endParaRPr>
        </a:p>
        <a:p>
          <a:pPr algn="l"/>
          <a:r>
            <a:rPr lang="en-US" sz="1100" baseline="0">
              <a:solidFill>
                <a:srgbClr val="235733"/>
              </a:solidFill>
            </a:rPr>
            <a:t>f. The narrow gap between positions 2 through 5 suggests these cities are performing at a fairly similar level, meaning a small improvement in any one of them could shift the rankings noticeably.</a:t>
          </a:r>
        </a:p>
        <a:p>
          <a:pPr algn="l"/>
          <a:endParaRPr lang="en-US" sz="1100" baseline="0">
            <a:solidFill>
              <a:srgbClr val="235733"/>
            </a:solidFill>
          </a:endParaRPr>
        </a:p>
        <a:p>
          <a:pPr algn="l"/>
          <a:endParaRPr lang="en-US" sz="1100" baseline="0">
            <a:solidFill>
              <a:srgbClr val="235733"/>
            </a:solidFill>
          </a:endParaRPr>
        </a:p>
        <a:p>
          <a:pPr algn="l"/>
          <a:r>
            <a:rPr lang="en-US" sz="1100" b="1" baseline="0">
              <a:solidFill>
                <a:srgbClr val="235733"/>
              </a:solidFill>
            </a:rPr>
            <a:t>8. Top 5 cities by Revenue Pre-insights</a:t>
          </a:r>
        </a:p>
        <a:p>
          <a:pPr algn="l"/>
          <a:endParaRPr lang="en-US" sz="1100" baseline="0">
            <a:solidFill>
              <a:srgbClr val="235733"/>
            </a:solidFill>
          </a:endParaRPr>
        </a:p>
        <a:p>
          <a:pPr algn="l"/>
          <a:r>
            <a:rPr lang="en-US" sz="1100" baseline="0">
              <a:solidFill>
                <a:srgbClr val="235733"/>
              </a:solidFill>
            </a:rPr>
            <a:t>a. The consistent appearance of New York, Portland, and Miami across both the cities revenue chart and this shipping chart confirms these are the company's most commercially active locations in terms of both sales and delivery.</a:t>
          </a:r>
        </a:p>
        <a:p>
          <a:pPr algn="l"/>
          <a:endParaRPr lang="en-US" sz="1100" baseline="0">
            <a:solidFill>
              <a:srgbClr val="235733"/>
            </a:solidFill>
          </a:endParaRPr>
        </a:p>
        <a:p>
          <a:pPr algn="l"/>
          <a:r>
            <a:rPr lang="en-US" sz="1100" baseline="0">
              <a:solidFill>
                <a:srgbClr val="235733"/>
              </a:solidFill>
            </a:rPr>
            <a:t>b. Milwaukee's low shipping revenue despite being in the top 6 could mean it receives smaller or less frequent orders — it may be an emerging market or a city served by a lower-tier account.</a:t>
          </a:r>
        </a:p>
        <a:p>
          <a:pPr algn="l"/>
          <a:endParaRPr lang="en-US" sz="1100" baseline="0">
            <a:solidFill>
              <a:srgbClr val="235733"/>
            </a:solidFill>
          </a:endParaRPr>
        </a:p>
        <a:p>
          <a:pPr algn="l"/>
          <a:r>
            <a:rPr lang="en-US" sz="1100" baseline="0">
              <a:solidFill>
                <a:srgbClr val="235733"/>
              </a:solidFill>
            </a:rPr>
            <a:t>c. The uneven radar shape is a visual signal that shipping activity is not balanced across cities — the company is heavily dependent on a few key shipping destinations, which could be a logistical risk if any of those routes face disruption.</a:t>
          </a:r>
        </a:p>
        <a:p>
          <a:pPr algn="l"/>
          <a:endParaRPr lang="en-US" sz="1100" baseline="0">
            <a:solidFill>
              <a:srgbClr val="235733"/>
            </a:solidFill>
          </a:endParaRPr>
        </a:p>
        <a:p>
          <a:pPr algn="l"/>
          <a:r>
            <a:rPr lang="en-US" sz="1100" baseline="0">
              <a:solidFill>
                <a:srgbClr val="235733"/>
              </a:solidFill>
            </a:rPr>
            <a:t>d. The near-identical figures for Portland and Miami in both charts (cities revenue and ship cities) suggests these two cities may have similar customer profiles, order sizes, and purchasing frequency — worth investigating if the same products are being shipped to both.</a:t>
          </a:r>
        </a:p>
        <a:p>
          <a:pPr algn="l"/>
          <a:endParaRPr lang="en-US" sz="1100" baseline="0">
            <a:solidFill>
              <a:srgbClr val="235733"/>
            </a:solidFill>
          </a:endParaRPr>
        </a:p>
        <a:p>
          <a:pPr algn="l"/>
          <a:r>
            <a:rPr lang="en-US" sz="1100" baseline="0">
              <a:solidFill>
                <a:srgbClr val="235733"/>
              </a:solidFill>
            </a:rPr>
            <a:t>e. Memphis appearing consistently across state, city, and shipping charts despite not being a major commercial hub reinforces the earlier pre-insight that a specific key account or relationship is likely anchoring that city's numbers.</a:t>
          </a:r>
        </a:p>
        <a:p>
          <a:pPr algn="l"/>
          <a:endParaRPr lang="en-US" sz="1100" baseline="0">
            <a:solidFill>
              <a:srgbClr val="235733"/>
            </a:solidFill>
          </a:endParaRPr>
        </a:p>
        <a:p>
          <a:pPr algn="l"/>
          <a:r>
            <a:rPr lang="en-US" sz="1100" baseline="0">
              <a:solidFill>
                <a:srgbClr val="235733"/>
              </a:solidFill>
            </a:rPr>
            <a:t>f. Milwaukee being the weakest shipping city could also indicate longer delivery distances, higher shipping costs, or lower order frequency from that area — factors worth checking if the company is looking to optimise its logistics.</a:t>
          </a:r>
        </a:p>
        <a:p>
          <a:pPr algn="l"/>
          <a:endParaRPr lang="en-US" sz="1100" baseline="0">
            <a:solidFill>
              <a:srgbClr val="235733"/>
            </a:solidFill>
          </a:endParaRPr>
        </a:p>
        <a:p>
          <a:pPr algn="l"/>
          <a:r>
            <a:rPr lang="en-US" sz="1100" b="1" baseline="0">
              <a:solidFill>
                <a:srgbClr val="235733"/>
              </a:solidFill>
            </a:rPr>
            <a:t>9. Transaction by amount Pre-insights</a:t>
          </a:r>
        </a:p>
        <a:p>
          <a:pPr algn="l"/>
          <a:endParaRPr lang="en-US" sz="1100" baseline="0">
            <a:solidFill>
              <a:srgbClr val="235733"/>
            </a:solidFill>
          </a:endParaRPr>
        </a:p>
        <a:p>
          <a:pPr algn="l"/>
          <a:r>
            <a:rPr lang="en-US" sz="1100" baseline="0">
              <a:solidFill>
                <a:srgbClr val="235733"/>
              </a:solidFill>
            </a:rPr>
            <a:t>a. The overwhelming concentration of transactions in the lowest bracket ($10–$1,010) suggests the company's business is primarily driven by small, frequent purchases rather than large bulk orders — this is a high volume, low value transaction pattern.</a:t>
          </a:r>
        </a:p>
        <a:p>
          <a:pPr algn="l"/>
          <a:endParaRPr lang="en-US" sz="1100" baseline="0">
            <a:solidFill>
              <a:srgbClr val="235733"/>
            </a:solidFill>
          </a:endParaRPr>
        </a:p>
        <a:p>
          <a:pPr algn="l"/>
          <a:r>
            <a:rPr lang="en-US" sz="1100" baseline="0">
              <a:solidFill>
                <a:srgbClr val="235733"/>
              </a:solidFill>
            </a:rPr>
            <a:t>b. The sharp drop after the first bracket could mean most customers have a natural spending ceiling just below $1,010 — possibly due to budget limits, purchasing approval thresholds, or product pricing structure.</a:t>
          </a:r>
        </a:p>
        <a:p>
          <a:pPr algn="l"/>
          <a:endParaRPr lang="en-US" sz="1100" baseline="0">
            <a:solidFill>
              <a:srgbClr val="235733"/>
            </a:solidFill>
          </a:endParaRPr>
        </a:p>
        <a:p>
          <a:pPr algn="l"/>
          <a:r>
            <a:rPr lang="en-US" sz="1100" baseline="0">
              <a:solidFill>
                <a:srgbClr val="235733"/>
              </a:solidFill>
            </a:rPr>
            <a:t>c. The near absence of transactions above $5,010 suggests very few customers make high-value single purchases — the company may not have premium or enterprise-level offerings that attract large one-time orders.</a:t>
          </a:r>
        </a:p>
        <a:p>
          <a:pPr algn="l"/>
          <a:endParaRPr lang="en-US" sz="1100" baseline="0">
            <a:solidFill>
              <a:srgbClr val="235733"/>
            </a:solidFill>
          </a:endParaRPr>
        </a:p>
        <a:p>
          <a:pPr algn="l"/>
          <a:r>
            <a:rPr lang="en-US" sz="1100" baseline="0">
              <a:solidFill>
                <a:srgbClr val="235733"/>
              </a:solidFill>
            </a:rPr>
            <a:t>d. The gap at $5,010–$6,010 with zero transactions is unusual and worth investigating — it could be a data gap, a pricing gap in the product range, or simply reflect that no orders fell in that range during the period.</a:t>
          </a:r>
        </a:p>
        <a:p>
          <a:pPr algn="l"/>
          <a:endParaRPr lang="en-US" sz="1100" baseline="0">
            <a:solidFill>
              <a:srgbClr val="235733"/>
            </a:solidFill>
          </a:endParaRPr>
        </a:p>
        <a:p>
          <a:pPr algn="l"/>
          <a:r>
            <a:rPr lang="en-US" sz="1100" baseline="0">
              <a:solidFill>
                <a:srgbClr val="235733"/>
              </a:solidFill>
            </a:rPr>
            <a:t>e. Cross-referencing with the top customers chart could reveal whether the rare high-value transactions ($6,010–$8,010) are coming from Company D or Company H, the top two customers — since they lead in revenue, they are most likely placing the occasional large orders.</a:t>
          </a:r>
        </a:p>
        <a:p>
          <a:pPr algn="l"/>
          <a:endParaRPr lang="en-US" sz="1100" baseline="0">
            <a:solidFill>
              <a:srgbClr val="235733"/>
            </a:solidFill>
          </a:endParaRPr>
        </a:p>
        <a:p>
          <a:pPr algn="l"/>
          <a:r>
            <a:rPr lang="en-US" sz="1100" baseline="0">
              <a:solidFill>
                <a:srgbClr val="235733"/>
              </a:solidFill>
            </a:rPr>
            <a:t>f. If the company wants to grow revenue, two paths are visible from this data — either increase the volume of small transactions further, or develop strategies to move more customers into the $2,010–$4,010 bracket through upselling or bundling.</a:t>
          </a:r>
        </a:p>
        <a:p>
          <a:pPr algn="l"/>
          <a:endParaRPr lang="en-US" sz="1100" baseline="0">
            <a:solidFill>
              <a:srgbClr val="235733"/>
            </a:solidFill>
          </a:endParaRPr>
        </a:p>
        <a:p>
          <a:pPr algn="l"/>
          <a:endParaRPr lang="en-US" sz="1100" baseline="0">
            <a:solidFill>
              <a:srgbClr val="235733"/>
            </a:solidFill>
          </a:endParaRPr>
        </a:p>
      </xdr:txBody>
    </xdr:sp>
    <xdr:clientData/>
  </xdr:twoCellAnchor>
  <xdr:oneCellAnchor>
    <xdr:from>
      <xdr:col>12</xdr:col>
      <xdr:colOff>236220</xdr:colOff>
      <xdr:row>15</xdr:row>
      <xdr:rowOff>0</xdr:rowOff>
    </xdr:from>
    <xdr:ext cx="184731" cy="264560"/>
    <xdr:sp macro="" textlink="">
      <xdr:nvSpPr>
        <xdr:cNvPr id="8" name="TextBox 7">
          <a:extLst>
            <a:ext uri="{FF2B5EF4-FFF2-40B4-BE49-F238E27FC236}">
              <a16:creationId xmlns:a16="http://schemas.microsoft.com/office/drawing/2014/main" id="{41E84D95-548E-EF6C-1D41-A3746D659FD1}"/>
            </a:ext>
          </a:extLst>
        </xdr:cNvPr>
        <xdr:cNvSpPr txBox="1"/>
      </xdr:nvSpPr>
      <xdr:spPr>
        <a:xfrm>
          <a:off x="7551420" y="274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30480</xdr:colOff>
      <xdr:row>0</xdr:row>
      <xdr:rowOff>7620</xdr:rowOff>
    </xdr:from>
    <xdr:to>
      <xdr:col>7</xdr:col>
      <xdr:colOff>563880</xdr:colOff>
      <xdr:row>23</xdr:row>
      <xdr:rowOff>15240</xdr:rowOff>
    </xdr:to>
    <xdr:sp macro="" textlink="">
      <xdr:nvSpPr>
        <xdr:cNvPr id="2" name="Rectangle 1">
          <a:extLst>
            <a:ext uri="{FF2B5EF4-FFF2-40B4-BE49-F238E27FC236}">
              <a16:creationId xmlns:a16="http://schemas.microsoft.com/office/drawing/2014/main" id="{4E1BD840-C33B-EC6B-7675-3DA0F6C5FA72}"/>
            </a:ext>
          </a:extLst>
        </xdr:cNvPr>
        <xdr:cNvSpPr/>
      </xdr:nvSpPr>
      <xdr:spPr>
        <a:xfrm>
          <a:off x="30480" y="7620"/>
          <a:ext cx="4800600" cy="4213860"/>
        </a:xfrm>
        <a:prstGeom prst="rect">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t>Pre-Analysis</a:t>
          </a:r>
        </a:p>
        <a:p>
          <a:pPr algn="l"/>
          <a:r>
            <a:rPr lang="en-US" sz="900"/>
            <a:t>Pre</a:t>
          </a:r>
          <a:r>
            <a:rPr lang="en-US" sz="900" baseline="0"/>
            <a:t>-Analysis refers to the thorough observation, exploration of a given data to better understand it,examine specific things and document observations. It involves splitting a given data into independent and dependent values, unerstanding the story of the data and deriving potential questions or insights.</a:t>
          </a:r>
        </a:p>
        <a:p>
          <a:pPr algn="l"/>
          <a:endParaRPr lang="en-US" sz="900" baseline="0"/>
        </a:p>
        <a:p>
          <a:pPr algn="l"/>
          <a:r>
            <a:rPr lang="en-US" sz="900" b="1"/>
            <a:t>1.</a:t>
          </a:r>
          <a:r>
            <a:rPr lang="en-US" sz="900" b="1" baseline="0"/>
            <a:t> Data Splitting</a:t>
          </a:r>
        </a:p>
        <a:p>
          <a:pPr algn="l"/>
          <a:r>
            <a:rPr lang="en-US" sz="900" baseline="0"/>
            <a:t>A. Independent Values: These are those values in a given data that can stand alone and still make some sense. In this case:</a:t>
          </a:r>
        </a:p>
        <a:p>
          <a:pPr algn="l"/>
          <a:r>
            <a:rPr lang="en-US" sz="900" baseline="0"/>
            <a:t>a. Customer Name</a:t>
          </a:r>
        </a:p>
        <a:p>
          <a:pPr algn="l"/>
          <a:r>
            <a:rPr lang="en-US" sz="900" baseline="0"/>
            <a:t>b. Address</a:t>
          </a:r>
        </a:p>
        <a:p>
          <a:pPr algn="l"/>
          <a:r>
            <a:rPr lang="en-US" sz="900" baseline="0"/>
            <a:t>c. City</a:t>
          </a:r>
        </a:p>
        <a:p>
          <a:pPr algn="l"/>
          <a:r>
            <a:rPr lang="en-US" sz="900" baseline="0"/>
            <a:t>d. State</a:t>
          </a:r>
        </a:p>
        <a:p>
          <a:pPr algn="l"/>
          <a:r>
            <a:rPr lang="en-US" sz="900" baseline="0"/>
            <a:t>e. Country</a:t>
          </a:r>
        </a:p>
        <a:p>
          <a:pPr algn="l"/>
          <a:r>
            <a:rPr lang="en-US" sz="900" baseline="0"/>
            <a:t>f. Salesperson</a:t>
          </a:r>
        </a:p>
        <a:p>
          <a:pPr algn="l"/>
          <a:r>
            <a:rPr lang="en-US" sz="900" baseline="0"/>
            <a:t>g. Region</a:t>
          </a:r>
        </a:p>
        <a:p>
          <a:pPr algn="l"/>
          <a:r>
            <a:rPr lang="en-US" sz="900" baseline="0"/>
            <a:t>h. Shipper Name</a:t>
          </a:r>
        </a:p>
        <a:p>
          <a:pPr algn="l"/>
          <a:r>
            <a:rPr lang="en-US" sz="900" baseline="0"/>
            <a:t>i. Ship Name</a:t>
          </a:r>
        </a:p>
        <a:p>
          <a:pPr algn="l"/>
          <a:r>
            <a:rPr lang="en-US" sz="900" baseline="0"/>
            <a:t>j. Product name</a:t>
          </a:r>
        </a:p>
        <a:p>
          <a:pPr algn="l"/>
          <a:r>
            <a:rPr lang="en-US" sz="900" baseline="0"/>
            <a:t>k. Category</a:t>
          </a:r>
        </a:p>
        <a:p>
          <a:pPr algn="l"/>
          <a:endParaRPr lang="en-US" sz="900" baseline="0"/>
        </a:p>
        <a:p>
          <a:pPr algn="l"/>
          <a:r>
            <a:rPr lang="en-US" sz="900" baseline="0"/>
            <a:t>B. Dependent Values: These are data points in a data that cannot stand alone as they depend on independent values to make any sense. In this case:</a:t>
          </a:r>
        </a:p>
        <a:p>
          <a:pPr algn="l"/>
          <a:r>
            <a:rPr lang="en-US" sz="900" baseline="0"/>
            <a:t>a. Postal Code</a:t>
          </a:r>
        </a:p>
        <a:p>
          <a:pPr algn="l"/>
          <a:r>
            <a:rPr lang="en-US" sz="900" baseline="0"/>
            <a:t>b. Shipped Date</a:t>
          </a:r>
        </a:p>
        <a:p>
          <a:pPr algn="l"/>
          <a:r>
            <a:rPr lang="en-US" sz="900" baseline="0"/>
            <a:t>c. Unit Price</a:t>
          </a:r>
        </a:p>
        <a:p>
          <a:pPr algn="l"/>
          <a:r>
            <a:rPr lang="en-US" sz="900" baseline="0"/>
            <a:t>d. Quantity</a:t>
          </a:r>
        </a:p>
        <a:p>
          <a:pPr algn="l"/>
          <a:r>
            <a:rPr lang="en-US" sz="900" baseline="0"/>
            <a:t>e. Revnue</a:t>
          </a:r>
        </a:p>
        <a:p>
          <a:pPr algn="l"/>
          <a:r>
            <a:rPr lang="en-US" sz="900" baseline="0"/>
            <a:t>g. Shipping fee</a:t>
          </a:r>
          <a:endParaRPr lang="en-NG" sz="900"/>
        </a:p>
      </xdr:txBody>
    </xdr:sp>
    <xdr:clientData/>
  </xdr:twoCellAnchor>
  <xdr:twoCellAnchor>
    <xdr:from>
      <xdr:col>27</xdr:col>
      <xdr:colOff>541020</xdr:colOff>
      <xdr:row>3</xdr:row>
      <xdr:rowOff>83820</xdr:rowOff>
    </xdr:from>
    <xdr:to>
      <xdr:col>35</xdr:col>
      <xdr:colOff>464820</xdr:colOff>
      <xdr:row>23</xdr:row>
      <xdr:rowOff>60960</xdr:rowOff>
    </xdr:to>
    <xdr:sp macro="" textlink="">
      <xdr:nvSpPr>
        <xdr:cNvPr id="4" name="Rectangle 3">
          <a:extLst>
            <a:ext uri="{FF2B5EF4-FFF2-40B4-BE49-F238E27FC236}">
              <a16:creationId xmlns:a16="http://schemas.microsoft.com/office/drawing/2014/main" id="{25429272-3E4C-7DF5-FE0C-7411617E1A43}"/>
            </a:ext>
          </a:extLst>
        </xdr:cNvPr>
        <xdr:cNvSpPr/>
      </xdr:nvSpPr>
      <xdr:spPr>
        <a:xfrm>
          <a:off x="17000220" y="632460"/>
          <a:ext cx="4800600" cy="36347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281940</xdr:colOff>
      <xdr:row>0</xdr:row>
      <xdr:rowOff>0</xdr:rowOff>
    </xdr:from>
    <xdr:to>
      <xdr:col>16</xdr:col>
      <xdr:colOff>205740</xdr:colOff>
      <xdr:row>23</xdr:row>
      <xdr:rowOff>7620</xdr:rowOff>
    </xdr:to>
    <xdr:sp macro="" textlink="">
      <xdr:nvSpPr>
        <xdr:cNvPr id="6" name="Rectangle 5">
          <a:extLst>
            <a:ext uri="{FF2B5EF4-FFF2-40B4-BE49-F238E27FC236}">
              <a16:creationId xmlns:a16="http://schemas.microsoft.com/office/drawing/2014/main" id="{39DBC393-2CD2-3A4A-D200-AF138D765336}"/>
            </a:ext>
          </a:extLst>
        </xdr:cNvPr>
        <xdr:cNvSpPr/>
      </xdr:nvSpPr>
      <xdr:spPr>
        <a:xfrm>
          <a:off x="5158740" y="0"/>
          <a:ext cx="4800600" cy="4213860"/>
        </a:xfrm>
        <a:prstGeom prst="rect">
          <a:avLst/>
        </a:prstGeom>
        <a:solidFill>
          <a:schemeClr val="bg1"/>
        </a:solidFill>
        <a:ln>
          <a:solidFill>
            <a:srgbClr val="23573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rgbClr val="235733"/>
              </a:solidFill>
            </a:rPr>
            <a:t>2. Data Story</a:t>
          </a:r>
        </a:p>
        <a:p>
          <a:pPr algn="l"/>
          <a:r>
            <a:rPr lang="en-US" sz="900">
              <a:solidFill>
                <a:srgbClr val="235733"/>
              </a:solidFill>
            </a:rPr>
            <a:t>The data tells the story of an E-commerce store, showing different</a:t>
          </a:r>
          <a:r>
            <a:rPr lang="en-US" sz="900" baseline="0">
              <a:solidFill>
                <a:srgbClr val="235733"/>
              </a:solidFill>
            </a:rPr>
            <a:t> products sold within their categoories as well. It also says more regarding orders by different states and regions in the United States. The data also highlighted the unit price of each product, the quantities they were  ordered in by different customers, the revenue that was generated by store and also the shipping fee amounts that customers paid to have their goods delivered.</a:t>
          </a:r>
        </a:p>
        <a:p>
          <a:pPr algn="l"/>
          <a:endParaRPr lang="en-US" sz="900" baseline="0">
            <a:solidFill>
              <a:srgbClr val="235733"/>
            </a:solidFill>
          </a:endParaRPr>
        </a:p>
        <a:p>
          <a:pPr algn="l"/>
          <a:r>
            <a:rPr lang="en-US" sz="900" b="1" baseline="0">
              <a:solidFill>
                <a:srgbClr val="235733"/>
              </a:solidFill>
            </a:rPr>
            <a:t>3. Industry type:</a:t>
          </a:r>
        </a:p>
        <a:p>
          <a:pPr algn="l"/>
          <a:r>
            <a:rPr lang="en-US" sz="900" baseline="0">
              <a:solidFill>
                <a:srgbClr val="235733"/>
              </a:solidFill>
            </a:rPr>
            <a:t>E-commerce / Sales</a:t>
          </a:r>
        </a:p>
        <a:p>
          <a:pPr algn="l"/>
          <a:endParaRPr lang="en-US" sz="900" baseline="0">
            <a:solidFill>
              <a:srgbClr val="235733"/>
            </a:solidFill>
          </a:endParaRPr>
        </a:p>
        <a:p>
          <a:pPr algn="l"/>
          <a:r>
            <a:rPr lang="en-US" sz="900" b="1" baseline="0">
              <a:solidFill>
                <a:srgbClr val="235733"/>
              </a:solidFill>
            </a:rPr>
            <a:t>4. What success means to this industry:</a:t>
          </a:r>
        </a:p>
        <a:p>
          <a:pPr algn="l"/>
          <a:r>
            <a:rPr lang="en-US" sz="900" baseline="0">
              <a:solidFill>
                <a:srgbClr val="235733"/>
              </a:solidFill>
            </a:rPr>
            <a:t>a. More revenue generated</a:t>
          </a:r>
        </a:p>
        <a:p>
          <a:pPr algn="l"/>
          <a:r>
            <a:rPr lang="en-US" sz="900" baseline="0">
              <a:solidFill>
                <a:srgbClr val="235733"/>
              </a:solidFill>
            </a:rPr>
            <a:t>b. More returning customers</a:t>
          </a:r>
        </a:p>
        <a:p>
          <a:pPr algn="l"/>
          <a:endParaRPr lang="en-US" sz="900" baseline="0">
            <a:solidFill>
              <a:srgbClr val="235733"/>
            </a:solidFill>
          </a:endParaRPr>
        </a:p>
        <a:p>
          <a:pPr algn="l"/>
          <a:r>
            <a:rPr lang="en-US" sz="900" b="1" baseline="0">
              <a:solidFill>
                <a:srgbClr val="235733"/>
              </a:solidFill>
            </a:rPr>
            <a:t>5. Who the data will be presented to</a:t>
          </a:r>
        </a:p>
        <a:p>
          <a:pPr algn="l"/>
          <a:r>
            <a:rPr lang="en-US" sz="900" baseline="0">
              <a:solidFill>
                <a:srgbClr val="235733"/>
              </a:solidFill>
            </a:rPr>
            <a:t>Stakeholders / C-suite executives ( CEO, CFO)</a:t>
          </a:r>
          <a:endParaRPr lang="en-NG" sz="900">
            <a:solidFill>
              <a:srgbClr val="235733"/>
            </a:solidFill>
          </a:endParaRPr>
        </a:p>
      </xdr:txBody>
    </xdr:sp>
    <xdr:clientData/>
  </xdr:twoCellAnchor>
  <xdr:twoCellAnchor>
    <xdr:from>
      <xdr:col>16</xdr:col>
      <xdr:colOff>457200</xdr:colOff>
      <xdr:row>0</xdr:row>
      <xdr:rowOff>0</xdr:rowOff>
    </xdr:from>
    <xdr:to>
      <xdr:col>24</xdr:col>
      <xdr:colOff>381000</xdr:colOff>
      <xdr:row>23</xdr:row>
      <xdr:rowOff>7620</xdr:rowOff>
    </xdr:to>
    <xdr:sp macro="" textlink="">
      <xdr:nvSpPr>
        <xdr:cNvPr id="7" name="Rectangle 6">
          <a:extLst>
            <a:ext uri="{FF2B5EF4-FFF2-40B4-BE49-F238E27FC236}">
              <a16:creationId xmlns:a16="http://schemas.microsoft.com/office/drawing/2014/main" id="{B16015A4-C9B8-A37B-80AD-479593206A63}"/>
            </a:ext>
          </a:extLst>
        </xdr:cNvPr>
        <xdr:cNvSpPr/>
      </xdr:nvSpPr>
      <xdr:spPr>
        <a:xfrm>
          <a:off x="10210800" y="0"/>
          <a:ext cx="4800600" cy="4213860"/>
        </a:xfrm>
        <a:prstGeom prst="rect">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t>6. Potential Questions / Insights</a:t>
          </a:r>
        </a:p>
        <a:p>
          <a:pPr algn="l"/>
          <a:r>
            <a:rPr lang="en-US" sz="900" b="0"/>
            <a:t>a.</a:t>
          </a:r>
          <a:r>
            <a:rPr lang="en-US" sz="900" b="0" baseline="0"/>
            <a:t> Customer with highest placed order</a:t>
          </a:r>
        </a:p>
        <a:p>
          <a:pPr algn="l"/>
          <a:r>
            <a:rPr lang="en-US" sz="900" b="0" baseline="0"/>
            <a:t>b. Product Category / Product with highest sales or revenue</a:t>
          </a:r>
        </a:p>
        <a:p>
          <a:pPr algn="l"/>
          <a:r>
            <a:rPr lang="en-US" sz="900" b="0" baseline="0"/>
            <a:t>c. Most preferred payment method and also least</a:t>
          </a:r>
        </a:p>
        <a:p>
          <a:pPr algn="l"/>
          <a:r>
            <a:rPr lang="en-US" sz="900" b="0" baseline="0"/>
            <a:t>d. Salesperson who closed the most sales</a:t>
          </a:r>
        </a:p>
        <a:p>
          <a:pPr algn="l"/>
          <a:r>
            <a:rPr lang="en-US" sz="900" b="0" baseline="0"/>
            <a:t>e. Dates with most orders</a:t>
          </a:r>
        </a:p>
        <a:p>
          <a:pPr algn="l"/>
          <a:r>
            <a:rPr lang="en-US" sz="900" b="0" baseline="0"/>
            <a:t>f. City with most orders</a:t>
          </a:r>
        </a:p>
        <a:p>
          <a:pPr algn="l"/>
          <a:endParaRPr lang="en-NG" sz="9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95250</xdr:rowOff>
    </xdr:from>
    <xdr:to>
      <xdr:col>28</xdr:col>
      <xdr:colOff>542925</xdr:colOff>
      <xdr:row>34</xdr:row>
      <xdr:rowOff>28575</xdr:rowOff>
    </xdr:to>
    <xdr:sp macro="" textlink="">
      <xdr:nvSpPr>
        <xdr:cNvPr id="3" name="Rectangle: Rounded Corners 2">
          <a:extLst>
            <a:ext uri="{FF2B5EF4-FFF2-40B4-BE49-F238E27FC236}">
              <a16:creationId xmlns:a16="http://schemas.microsoft.com/office/drawing/2014/main" id="{33D52A76-FDCB-FB78-D07F-CB0FA61BCAE2}"/>
            </a:ext>
          </a:extLst>
        </xdr:cNvPr>
        <xdr:cNvSpPr/>
      </xdr:nvSpPr>
      <xdr:spPr>
        <a:xfrm>
          <a:off x="47625" y="95250"/>
          <a:ext cx="17564100" cy="6086475"/>
        </a:xfrm>
        <a:prstGeom prst="roundRect">
          <a:avLst>
            <a:gd name="adj" fmla="val 3365"/>
          </a:avLst>
        </a:prstGeom>
        <a:solidFill>
          <a:srgbClr val="E5E3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200025</xdr:colOff>
      <xdr:row>1</xdr:row>
      <xdr:rowOff>19050</xdr:rowOff>
    </xdr:from>
    <xdr:to>
      <xdr:col>4</xdr:col>
      <xdr:colOff>133350</xdr:colOff>
      <xdr:row>33</xdr:row>
      <xdr:rowOff>104775</xdr:rowOff>
    </xdr:to>
    <xdr:sp macro="" textlink="">
      <xdr:nvSpPr>
        <xdr:cNvPr id="4" name="Rectangle: Rounded Corners 3">
          <a:extLst>
            <a:ext uri="{FF2B5EF4-FFF2-40B4-BE49-F238E27FC236}">
              <a16:creationId xmlns:a16="http://schemas.microsoft.com/office/drawing/2014/main" id="{B00D8362-3207-01F1-0DFD-C9B388CD541C}"/>
            </a:ext>
          </a:extLst>
        </xdr:cNvPr>
        <xdr:cNvSpPr/>
      </xdr:nvSpPr>
      <xdr:spPr>
        <a:xfrm>
          <a:off x="200025" y="200025"/>
          <a:ext cx="2371725" cy="587692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257175</xdr:colOff>
      <xdr:row>3</xdr:row>
      <xdr:rowOff>76200</xdr:rowOff>
    </xdr:from>
    <xdr:to>
      <xdr:col>8</xdr:col>
      <xdr:colOff>190500</xdr:colOff>
      <xdr:row>10</xdr:row>
      <xdr:rowOff>19050</xdr:rowOff>
    </xdr:to>
    <xdr:sp macro="" textlink="">
      <xdr:nvSpPr>
        <xdr:cNvPr id="16" name="Rectangle: Rounded Corners 15">
          <a:extLst>
            <a:ext uri="{FF2B5EF4-FFF2-40B4-BE49-F238E27FC236}">
              <a16:creationId xmlns:a16="http://schemas.microsoft.com/office/drawing/2014/main" id="{09482562-10FE-9DCD-925F-4DCCBC361BBD}"/>
            </a:ext>
          </a:extLst>
        </xdr:cNvPr>
        <xdr:cNvSpPr/>
      </xdr:nvSpPr>
      <xdr:spPr>
        <a:xfrm>
          <a:off x="2695575" y="619125"/>
          <a:ext cx="2371725" cy="120967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314325</xdr:colOff>
      <xdr:row>3</xdr:row>
      <xdr:rowOff>85725</xdr:rowOff>
    </xdr:from>
    <xdr:to>
      <xdr:col>12</xdr:col>
      <xdr:colOff>247650</xdr:colOff>
      <xdr:row>10</xdr:row>
      <xdr:rowOff>28575</xdr:rowOff>
    </xdr:to>
    <xdr:sp macro="" textlink="">
      <xdr:nvSpPr>
        <xdr:cNvPr id="17" name="Rectangle: Rounded Corners 16">
          <a:extLst>
            <a:ext uri="{FF2B5EF4-FFF2-40B4-BE49-F238E27FC236}">
              <a16:creationId xmlns:a16="http://schemas.microsoft.com/office/drawing/2014/main" id="{47AA383D-1611-1685-667B-BF4F50CBE81D}"/>
            </a:ext>
          </a:extLst>
        </xdr:cNvPr>
        <xdr:cNvSpPr/>
      </xdr:nvSpPr>
      <xdr:spPr>
        <a:xfrm>
          <a:off x="5191125" y="628650"/>
          <a:ext cx="2371725" cy="120967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371475</xdr:colOff>
      <xdr:row>3</xdr:row>
      <xdr:rowOff>95250</xdr:rowOff>
    </xdr:from>
    <xdr:to>
      <xdr:col>16</xdr:col>
      <xdr:colOff>304800</xdr:colOff>
      <xdr:row>10</xdr:row>
      <xdr:rowOff>38100</xdr:rowOff>
    </xdr:to>
    <xdr:sp macro="" textlink="">
      <xdr:nvSpPr>
        <xdr:cNvPr id="18" name="Rectangle: Rounded Corners 17">
          <a:extLst>
            <a:ext uri="{FF2B5EF4-FFF2-40B4-BE49-F238E27FC236}">
              <a16:creationId xmlns:a16="http://schemas.microsoft.com/office/drawing/2014/main" id="{D215C26A-2921-5945-C043-E042AC21D8D1}"/>
            </a:ext>
          </a:extLst>
        </xdr:cNvPr>
        <xdr:cNvSpPr/>
      </xdr:nvSpPr>
      <xdr:spPr>
        <a:xfrm>
          <a:off x="7686675" y="638175"/>
          <a:ext cx="2371725" cy="120967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428625</xdr:colOff>
      <xdr:row>3</xdr:row>
      <xdr:rowOff>114300</xdr:rowOff>
    </xdr:from>
    <xdr:to>
      <xdr:col>20</xdr:col>
      <xdr:colOff>361950</xdr:colOff>
      <xdr:row>10</xdr:row>
      <xdr:rowOff>57150</xdr:rowOff>
    </xdr:to>
    <xdr:sp macro="" textlink="">
      <xdr:nvSpPr>
        <xdr:cNvPr id="19" name="Rectangle: Rounded Corners 18">
          <a:extLst>
            <a:ext uri="{FF2B5EF4-FFF2-40B4-BE49-F238E27FC236}">
              <a16:creationId xmlns:a16="http://schemas.microsoft.com/office/drawing/2014/main" id="{DC1CEE8F-5C9D-5875-E58B-2FA9DFAB9C52}"/>
            </a:ext>
          </a:extLst>
        </xdr:cNvPr>
        <xdr:cNvSpPr/>
      </xdr:nvSpPr>
      <xdr:spPr>
        <a:xfrm>
          <a:off x="10182225" y="657225"/>
          <a:ext cx="2371725" cy="120967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485775</xdr:colOff>
      <xdr:row>3</xdr:row>
      <xdr:rowOff>104775</xdr:rowOff>
    </xdr:from>
    <xdr:to>
      <xdr:col>24</xdr:col>
      <xdr:colOff>419100</xdr:colOff>
      <xdr:row>10</xdr:row>
      <xdr:rowOff>47625</xdr:rowOff>
    </xdr:to>
    <xdr:sp macro="" textlink="">
      <xdr:nvSpPr>
        <xdr:cNvPr id="20" name="Rectangle: Rounded Corners 19">
          <a:extLst>
            <a:ext uri="{FF2B5EF4-FFF2-40B4-BE49-F238E27FC236}">
              <a16:creationId xmlns:a16="http://schemas.microsoft.com/office/drawing/2014/main" id="{2DABD2E4-5C39-B549-1324-47225086EA42}"/>
            </a:ext>
          </a:extLst>
        </xdr:cNvPr>
        <xdr:cNvSpPr/>
      </xdr:nvSpPr>
      <xdr:spPr>
        <a:xfrm>
          <a:off x="12677775" y="647700"/>
          <a:ext cx="2371725" cy="120967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24</xdr:col>
      <xdr:colOff>542925</xdr:colOff>
      <xdr:row>3</xdr:row>
      <xdr:rowOff>114301</xdr:rowOff>
    </xdr:from>
    <xdr:to>
      <xdr:col>28</xdr:col>
      <xdr:colOff>476250</xdr:colOff>
      <xdr:row>5</xdr:row>
      <xdr:rowOff>152401</xdr:rowOff>
    </xdr:to>
    <xdr:sp macro="" textlink="">
      <xdr:nvSpPr>
        <xdr:cNvPr id="21" name="Rectangle: Rounded Corners 20">
          <a:extLst>
            <a:ext uri="{FF2B5EF4-FFF2-40B4-BE49-F238E27FC236}">
              <a16:creationId xmlns:a16="http://schemas.microsoft.com/office/drawing/2014/main" id="{D824BFEB-C61C-E144-5640-E6440E3BBE3B}"/>
            </a:ext>
          </a:extLst>
        </xdr:cNvPr>
        <xdr:cNvSpPr/>
      </xdr:nvSpPr>
      <xdr:spPr>
        <a:xfrm>
          <a:off x="15173325" y="657226"/>
          <a:ext cx="2371725" cy="40005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24</xdr:col>
      <xdr:colOff>542925</xdr:colOff>
      <xdr:row>8</xdr:row>
      <xdr:rowOff>9527</xdr:rowOff>
    </xdr:from>
    <xdr:to>
      <xdr:col>28</xdr:col>
      <xdr:colOff>476250</xdr:colOff>
      <xdr:row>10</xdr:row>
      <xdr:rowOff>47627</xdr:rowOff>
    </xdr:to>
    <xdr:sp macro="" textlink="">
      <xdr:nvSpPr>
        <xdr:cNvPr id="22" name="Rectangle: Rounded Corners 21">
          <a:extLst>
            <a:ext uri="{FF2B5EF4-FFF2-40B4-BE49-F238E27FC236}">
              <a16:creationId xmlns:a16="http://schemas.microsoft.com/office/drawing/2014/main" id="{48BF4CF0-CB96-10EB-6264-B8467E86CB82}"/>
            </a:ext>
          </a:extLst>
        </xdr:cNvPr>
        <xdr:cNvSpPr/>
      </xdr:nvSpPr>
      <xdr:spPr>
        <a:xfrm>
          <a:off x="15173325" y="1457327"/>
          <a:ext cx="2371725" cy="40005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247650</xdr:colOff>
      <xdr:row>10</xdr:row>
      <xdr:rowOff>142875</xdr:rowOff>
    </xdr:from>
    <xdr:to>
      <xdr:col>10</xdr:col>
      <xdr:colOff>161925</xdr:colOff>
      <xdr:row>22</xdr:row>
      <xdr:rowOff>38100</xdr:rowOff>
    </xdr:to>
    <xdr:sp macro="" textlink="">
      <xdr:nvSpPr>
        <xdr:cNvPr id="23" name="Rectangle: Rounded Corners 22">
          <a:extLst>
            <a:ext uri="{FF2B5EF4-FFF2-40B4-BE49-F238E27FC236}">
              <a16:creationId xmlns:a16="http://schemas.microsoft.com/office/drawing/2014/main" id="{1DE47EA3-D93E-AD74-18AA-379AC9FC6975}"/>
            </a:ext>
          </a:extLst>
        </xdr:cNvPr>
        <xdr:cNvSpPr/>
      </xdr:nvSpPr>
      <xdr:spPr>
        <a:xfrm>
          <a:off x="2686050" y="1952625"/>
          <a:ext cx="3571875" cy="2066925"/>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295275</xdr:colOff>
      <xdr:row>10</xdr:row>
      <xdr:rowOff>171451</xdr:rowOff>
    </xdr:from>
    <xdr:to>
      <xdr:col>16</xdr:col>
      <xdr:colOff>209550</xdr:colOff>
      <xdr:row>22</xdr:row>
      <xdr:rowOff>57151</xdr:rowOff>
    </xdr:to>
    <xdr:sp macro="" textlink="">
      <xdr:nvSpPr>
        <xdr:cNvPr id="24" name="Rectangle: Rounded Corners 23">
          <a:extLst>
            <a:ext uri="{FF2B5EF4-FFF2-40B4-BE49-F238E27FC236}">
              <a16:creationId xmlns:a16="http://schemas.microsoft.com/office/drawing/2014/main" id="{B9265CBC-7201-2979-7DE5-44DB285AF65F}"/>
            </a:ext>
          </a:extLst>
        </xdr:cNvPr>
        <xdr:cNvSpPr/>
      </xdr:nvSpPr>
      <xdr:spPr>
        <a:xfrm>
          <a:off x="6391275" y="1981201"/>
          <a:ext cx="3571875" cy="205740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342900</xdr:colOff>
      <xdr:row>11</xdr:row>
      <xdr:rowOff>28576</xdr:rowOff>
    </xdr:from>
    <xdr:to>
      <xdr:col>28</xdr:col>
      <xdr:colOff>409575</xdr:colOff>
      <xdr:row>22</xdr:row>
      <xdr:rowOff>57151</xdr:rowOff>
    </xdr:to>
    <xdr:sp macro="" textlink="">
      <xdr:nvSpPr>
        <xdr:cNvPr id="25" name="Rectangle: Rounded Corners 24">
          <a:extLst>
            <a:ext uri="{FF2B5EF4-FFF2-40B4-BE49-F238E27FC236}">
              <a16:creationId xmlns:a16="http://schemas.microsoft.com/office/drawing/2014/main" id="{A6F00E9B-118A-DBD8-C90B-0B2C08550C4B}"/>
            </a:ext>
          </a:extLst>
        </xdr:cNvPr>
        <xdr:cNvSpPr/>
      </xdr:nvSpPr>
      <xdr:spPr>
        <a:xfrm>
          <a:off x="10096500" y="2019301"/>
          <a:ext cx="7381875" cy="201930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257175</xdr:colOff>
      <xdr:row>22</xdr:row>
      <xdr:rowOff>133350</xdr:rowOff>
    </xdr:from>
    <xdr:to>
      <xdr:col>10</xdr:col>
      <xdr:colOff>171450</xdr:colOff>
      <xdr:row>33</xdr:row>
      <xdr:rowOff>123825</xdr:rowOff>
    </xdr:to>
    <xdr:sp macro="" textlink="">
      <xdr:nvSpPr>
        <xdr:cNvPr id="26" name="Rectangle: Rounded Corners 25">
          <a:extLst>
            <a:ext uri="{FF2B5EF4-FFF2-40B4-BE49-F238E27FC236}">
              <a16:creationId xmlns:a16="http://schemas.microsoft.com/office/drawing/2014/main" id="{80AA56BF-18B4-AB14-F96D-64FF241C52AE}"/>
            </a:ext>
          </a:extLst>
        </xdr:cNvPr>
        <xdr:cNvSpPr/>
      </xdr:nvSpPr>
      <xdr:spPr>
        <a:xfrm>
          <a:off x="2695575" y="4114800"/>
          <a:ext cx="3571875" cy="198120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276225</xdr:colOff>
      <xdr:row>22</xdr:row>
      <xdr:rowOff>171450</xdr:rowOff>
    </xdr:from>
    <xdr:to>
      <xdr:col>16</xdr:col>
      <xdr:colOff>190500</xdr:colOff>
      <xdr:row>33</xdr:row>
      <xdr:rowOff>161925</xdr:rowOff>
    </xdr:to>
    <xdr:sp macro="" textlink="">
      <xdr:nvSpPr>
        <xdr:cNvPr id="27" name="Rectangle: Rounded Corners 26">
          <a:extLst>
            <a:ext uri="{FF2B5EF4-FFF2-40B4-BE49-F238E27FC236}">
              <a16:creationId xmlns:a16="http://schemas.microsoft.com/office/drawing/2014/main" id="{53F1B68B-45D7-7359-12AF-55A401035308}"/>
            </a:ext>
          </a:extLst>
        </xdr:cNvPr>
        <xdr:cNvSpPr/>
      </xdr:nvSpPr>
      <xdr:spPr>
        <a:xfrm>
          <a:off x="6372225" y="4152900"/>
          <a:ext cx="3571875" cy="198120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22</xdr:col>
      <xdr:colOff>438150</xdr:colOff>
      <xdr:row>22</xdr:row>
      <xdr:rowOff>171450</xdr:rowOff>
    </xdr:from>
    <xdr:to>
      <xdr:col>28</xdr:col>
      <xdr:colOff>352425</xdr:colOff>
      <xdr:row>33</xdr:row>
      <xdr:rowOff>161925</xdr:rowOff>
    </xdr:to>
    <xdr:sp macro="" textlink="">
      <xdr:nvSpPr>
        <xdr:cNvPr id="28" name="Rectangle: Rounded Corners 27">
          <a:extLst>
            <a:ext uri="{FF2B5EF4-FFF2-40B4-BE49-F238E27FC236}">
              <a16:creationId xmlns:a16="http://schemas.microsoft.com/office/drawing/2014/main" id="{10B1082D-D88D-149F-E4EE-72C6D87614F5}"/>
            </a:ext>
          </a:extLst>
        </xdr:cNvPr>
        <xdr:cNvSpPr/>
      </xdr:nvSpPr>
      <xdr:spPr>
        <a:xfrm>
          <a:off x="13849350" y="4152900"/>
          <a:ext cx="3571875" cy="198120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323850</xdr:colOff>
      <xdr:row>23</xdr:row>
      <xdr:rowOff>0</xdr:rowOff>
    </xdr:from>
    <xdr:to>
      <xdr:col>22</xdr:col>
      <xdr:colOff>238125</xdr:colOff>
      <xdr:row>33</xdr:row>
      <xdr:rowOff>171450</xdr:rowOff>
    </xdr:to>
    <xdr:sp macro="" textlink="">
      <xdr:nvSpPr>
        <xdr:cNvPr id="29" name="Rectangle: Rounded Corners 28">
          <a:extLst>
            <a:ext uri="{FF2B5EF4-FFF2-40B4-BE49-F238E27FC236}">
              <a16:creationId xmlns:a16="http://schemas.microsoft.com/office/drawing/2014/main" id="{3CB2463B-7990-1369-567D-5E4288865F05}"/>
            </a:ext>
          </a:extLst>
        </xdr:cNvPr>
        <xdr:cNvSpPr/>
      </xdr:nvSpPr>
      <xdr:spPr>
        <a:xfrm>
          <a:off x="10077450" y="4162425"/>
          <a:ext cx="3571875" cy="1981200"/>
        </a:xfrm>
        <a:prstGeom prst="roundRect">
          <a:avLst>
            <a:gd name="adj" fmla="val 74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552450</xdr:colOff>
      <xdr:row>1</xdr:row>
      <xdr:rowOff>47625</xdr:rowOff>
    </xdr:from>
    <xdr:to>
      <xdr:col>22</xdr:col>
      <xdr:colOff>495300</xdr:colOff>
      <xdr:row>3</xdr:row>
      <xdr:rowOff>9525</xdr:rowOff>
    </xdr:to>
    <xdr:sp macro="" textlink="">
      <xdr:nvSpPr>
        <xdr:cNvPr id="30" name="TextBox 29">
          <a:extLst>
            <a:ext uri="{FF2B5EF4-FFF2-40B4-BE49-F238E27FC236}">
              <a16:creationId xmlns:a16="http://schemas.microsoft.com/office/drawing/2014/main" id="{B5FB840A-3056-2720-0C96-1940F310A269}"/>
            </a:ext>
          </a:extLst>
        </xdr:cNvPr>
        <xdr:cNvSpPr txBox="1"/>
      </xdr:nvSpPr>
      <xdr:spPr>
        <a:xfrm>
          <a:off x="2990850" y="228600"/>
          <a:ext cx="109156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10886</xdr:colOff>
      <xdr:row>0</xdr:row>
      <xdr:rowOff>152400</xdr:rowOff>
    </xdr:from>
    <xdr:to>
      <xdr:col>21</xdr:col>
      <xdr:colOff>273957</xdr:colOff>
      <xdr:row>39</xdr:row>
      <xdr:rowOff>21771</xdr:rowOff>
    </xdr:to>
    <xdr:graphicFrame macro="">
      <xdr:nvGraphicFramePr>
        <xdr:cNvPr id="2" name="Chart 1">
          <a:extLst>
            <a:ext uri="{FF2B5EF4-FFF2-40B4-BE49-F238E27FC236}">
              <a16:creationId xmlns:a16="http://schemas.microsoft.com/office/drawing/2014/main" id="{C0469399-3475-48C8-9862-AA4DFCBAD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312420</xdr:colOff>
      <xdr:row>3</xdr:row>
      <xdr:rowOff>22860</xdr:rowOff>
    </xdr:from>
    <xdr:to>
      <xdr:col>13</xdr:col>
      <xdr:colOff>388620</xdr:colOff>
      <xdr:row>21</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2E4E74B-FC2B-B268-F9BA-6850C35376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7780" y="571500"/>
              <a:ext cx="4953000" cy="342138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579120</xdr:colOff>
      <xdr:row>1</xdr:row>
      <xdr:rowOff>175260</xdr:rowOff>
    </xdr:from>
    <xdr:to>
      <xdr:col>13</xdr:col>
      <xdr:colOff>594360</xdr:colOff>
      <xdr:row>21</xdr:row>
      <xdr:rowOff>114300</xdr:rowOff>
    </xdr:to>
    <xdr:graphicFrame macro="">
      <xdr:nvGraphicFramePr>
        <xdr:cNvPr id="2" name="Chart 1">
          <a:extLst>
            <a:ext uri="{FF2B5EF4-FFF2-40B4-BE49-F238E27FC236}">
              <a16:creationId xmlns:a16="http://schemas.microsoft.com/office/drawing/2014/main" id="{F43DD5F6-2B41-4BCB-A738-20D90B5B2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60960</xdr:colOff>
      <xdr:row>10</xdr:row>
      <xdr:rowOff>144780</xdr:rowOff>
    </xdr:from>
    <xdr:to>
      <xdr:col>21</xdr:col>
      <xdr:colOff>220980</xdr:colOff>
      <xdr:row>25</xdr:row>
      <xdr:rowOff>144780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348222D-2CE9-640B-00A0-562DF729D8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258300" y="1973580"/>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579120</xdr:colOff>
      <xdr:row>1</xdr:row>
      <xdr:rowOff>175260</xdr:rowOff>
    </xdr:from>
    <xdr:to>
      <xdr:col>13</xdr:col>
      <xdr:colOff>594360</xdr:colOff>
      <xdr:row>21</xdr:row>
      <xdr:rowOff>114300</xdr:rowOff>
    </xdr:to>
    <xdr:graphicFrame macro="">
      <xdr:nvGraphicFramePr>
        <xdr:cNvPr id="2" name="Chart 1">
          <a:extLst>
            <a:ext uri="{FF2B5EF4-FFF2-40B4-BE49-F238E27FC236}">
              <a16:creationId xmlns:a16="http://schemas.microsoft.com/office/drawing/2014/main" id="{D2A345F7-5826-4ECC-9E3A-1C553FB78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365760</xdr:colOff>
      <xdr:row>1</xdr:row>
      <xdr:rowOff>167638</xdr:rowOff>
    </xdr:from>
    <xdr:to>
      <xdr:col>20</xdr:col>
      <xdr:colOff>217714</xdr:colOff>
      <xdr:row>34</xdr:row>
      <xdr:rowOff>163285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EFC2831-C081-1AE2-A0A6-43144FF00E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350518"/>
              <a:ext cx="8995954" cy="603068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579120</xdr:colOff>
      <xdr:row>1</xdr:row>
      <xdr:rowOff>175260</xdr:rowOff>
    </xdr:from>
    <xdr:to>
      <xdr:col>10</xdr:col>
      <xdr:colOff>274320</xdr:colOff>
      <xdr:row>16</xdr:row>
      <xdr:rowOff>175260</xdr:rowOff>
    </xdr:to>
    <xdr:graphicFrame macro="">
      <xdr:nvGraphicFramePr>
        <xdr:cNvPr id="2" name="Chart 1">
          <a:extLst>
            <a:ext uri="{FF2B5EF4-FFF2-40B4-BE49-F238E27FC236}">
              <a16:creationId xmlns:a16="http://schemas.microsoft.com/office/drawing/2014/main" id="{6923D26F-D8CC-900B-9FC4-7DA2E3556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601980</xdr:colOff>
      <xdr:row>2</xdr:row>
      <xdr:rowOff>0</xdr:rowOff>
    </xdr:from>
    <xdr:to>
      <xdr:col>12</xdr:col>
      <xdr:colOff>487680</xdr:colOff>
      <xdr:row>19</xdr:row>
      <xdr:rowOff>160020</xdr:rowOff>
    </xdr:to>
    <xdr:graphicFrame macro="">
      <xdr:nvGraphicFramePr>
        <xdr:cNvPr id="2" name="Chart 1">
          <a:extLst>
            <a:ext uri="{FF2B5EF4-FFF2-40B4-BE49-F238E27FC236}">
              <a16:creationId xmlns:a16="http://schemas.microsoft.com/office/drawing/2014/main" id="{AAACD11B-A0CE-4F00-B9DA-42CDBA664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579120</xdr:colOff>
      <xdr:row>1</xdr:row>
      <xdr:rowOff>175260</xdr:rowOff>
    </xdr:from>
    <xdr:to>
      <xdr:col>12</xdr:col>
      <xdr:colOff>464820</xdr:colOff>
      <xdr:row>19</xdr:row>
      <xdr:rowOff>152400</xdr:rowOff>
    </xdr:to>
    <xdr:graphicFrame macro="">
      <xdr:nvGraphicFramePr>
        <xdr:cNvPr id="2" name="Chart 1">
          <a:extLst>
            <a:ext uri="{FF2B5EF4-FFF2-40B4-BE49-F238E27FC236}">
              <a16:creationId xmlns:a16="http://schemas.microsoft.com/office/drawing/2014/main" id="{F59B35A9-C949-49A3-A272-30FAE13AD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579120</xdr:colOff>
      <xdr:row>1</xdr:row>
      <xdr:rowOff>175260</xdr:rowOff>
    </xdr:from>
    <xdr:to>
      <xdr:col>11</xdr:col>
      <xdr:colOff>76200</xdr:colOff>
      <xdr:row>19</xdr:row>
      <xdr:rowOff>152400</xdr:rowOff>
    </xdr:to>
    <xdr:graphicFrame macro="">
      <xdr:nvGraphicFramePr>
        <xdr:cNvPr id="2" name="Chart 1">
          <a:extLst>
            <a:ext uri="{FF2B5EF4-FFF2-40B4-BE49-F238E27FC236}">
              <a16:creationId xmlns:a16="http://schemas.microsoft.com/office/drawing/2014/main" id="{AE426D4A-9572-4E8A-A390-4B2C0A444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zubechi George" refreshedDate="46185.633834953704" createdVersion="8" refreshedVersion="8" minRefreshableVersion="3" recordCount="369" xr:uid="{28A100F6-061C-4BFE-8DD4-906F16EA71D8}">
  <cacheSource type="worksheet">
    <worksheetSource name="Table1"/>
  </cacheSource>
  <cacheFields count="27">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ount="1">
        <s v="USA"/>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6">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01/01/2014"/>
          <s v="Jan"/>
          <s v="Feb"/>
          <s v="Mar"/>
          <s v="Apr"/>
          <s v="May"/>
          <s v="Jun"/>
          <s v="Jul"/>
          <s v="Aug"/>
          <s v="Sep"/>
          <s v="Oct"/>
          <s v="Nov"/>
          <s v="Dec"/>
          <s v="&gt;30/12/2014"/>
        </groupItems>
      </fieldGroup>
    </cacheField>
  </cacheFields>
  <extLst>
    <ext xmlns:x14="http://schemas.microsoft.com/office/spreadsheetml/2009/9/main" uri="{725AE2AE-9491-48be-B2B4-4EB974FC3084}">
      <x14:pivotCacheDefinition pivotCacheId="1452205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x v="0"/>
    <x v="0"/>
    <x v="0"/>
    <d v="2014-01-29T00:00:00"/>
    <s v="Shipping Company B"/>
    <s v="Karen Toh"/>
    <s v="789 27th Street"/>
    <x v="0"/>
    <s v="NV"/>
    <n v="99999"/>
    <s v="USA"/>
    <s v="Check"/>
    <x v="0"/>
    <x v="0"/>
    <n v="14"/>
    <n v="49"/>
    <x v="0"/>
    <n v="66.542000000000002"/>
  </r>
  <r>
    <n v="1002"/>
    <x v="0"/>
    <n v="27"/>
    <x v="0"/>
    <s v="789 27th Street"/>
    <x v="0"/>
    <x v="0"/>
    <n v="99999"/>
    <x v="0"/>
    <x v="0"/>
    <x v="0"/>
    <d v="2014-01-29T00:00:00"/>
    <s v="Shipping Company B"/>
    <s v="Karen Toh"/>
    <s v="789 27th Street"/>
    <x v="0"/>
    <s v="NV"/>
    <n v="99999"/>
    <s v="USA"/>
    <s v="Check"/>
    <x v="1"/>
    <x v="1"/>
    <n v="3.5"/>
    <n v="47"/>
    <x v="1"/>
    <n v="16.6145"/>
  </r>
  <r>
    <n v="1003"/>
    <x v="1"/>
    <n v="4"/>
    <x v="1"/>
    <s v="123 4th Street"/>
    <x v="1"/>
    <x v="1"/>
    <n v="99999"/>
    <x v="0"/>
    <x v="1"/>
    <x v="1"/>
    <d v="2014-01-06T00:00:00"/>
    <s v="Shipping Company A"/>
    <s v="Christina Lee"/>
    <s v="123 4th Street"/>
    <x v="1"/>
    <s v="NY"/>
    <n v="99999"/>
    <s v="USA"/>
    <s v="Credit Card"/>
    <x v="2"/>
    <x v="1"/>
    <n v="30"/>
    <n v="69"/>
    <x v="2"/>
    <n v="198.72"/>
  </r>
  <r>
    <n v="1004"/>
    <x v="1"/>
    <n v="4"/>
    <x v="1"/>
    <s v="123 4th Street"/>
    <x v="1"/>
    <x v="1"/>
    <n v="99999"/>
    <x v="0"/>
    <x v="1"/>
    <x v="1"/>
    <d v="2014-01-06T00:00:00"/>
    <s v="Shipping Company A"/>
    <s v="Christina Lee"/>
    <s v="123 4th Street"/>
    <x v="1"/>
    <s v="NY"/>
    <n v="99999"/>
    <s v="USA"/>
    <s v="Credit Card"/>
    <x v="3"/>
    <x v="1"/>
    <n v="53"/>
    <n v="89"/>
    <x v="3"/>
    <n v="448.11500000000001"/>
  </r>
  <r>
    <n v="1005"/>
    <x v="1"/>
    <n v="4"/>
    <x v="1"/>
    <s v="123 4th Street"/>
    <x v="1"/>
    <x v="1"/>
    <n v="99999"/>
    <x v="0"/>
    <x v="1"/>
    <x v="1"/>
    <d v="2014-01-06T00:00:00"/>
    <s v="Shipping Company A"/>
    <s v="Christina Lee"/>
    <s v="123 4th Street"/>
    <x v="1"/>
    <s v="NY"/>
    <n v="99999"/>
    <s v="USA"/>
    <s v="Credit Card"/>
    <x v="1"/>
    <x v="1"/>
    <n v="3.5"/>
    <n v="11"/>
    <x v="4"/>
    <n v="3.7345000000000002"/>
  </r>
  <r>
    <n v="1006"/>
    <x v="2"/>
    <n v="12"/>
    <x v="2"/>
    <s v="123 12th Street"/>
    <x v="0"/>
    <x v="0"/>
    <n v="99999"/>
    <x v="0"/>
    <x v="0"/>
    <x v="0"/>
    <d v="2014-01-14T00:00:00"/>
    <s v="Shipping Company B"/>
    <s v="John Edwards"/>
    <s v="123 12th Street"/>
    <x v="0"/>
    <s v="NV"/>
    <n v="99999"/>
    <s v="USA"/>
    <s v="Credit Card"/>
    <x v="4"/>
    <x v="0"/>
    <n v="18"/>
    <n v="81"/>
    <x v="5"/>
    <n v="141.42600000000002"/>
  </r>
  <r>
    <n v="1007"/>
    <x v="2"/>
    <n v="12"/>
    <x v="2"/>
    <s v="123 12th Street"/>
    <x v="0"/>
    <x v="0"/>
    <n v="99999"/>
    <x v="0"/>
    <x v="0"/>
    <x v="0"/>
    <d v="2014-01-14T00:00:00"/>
    <s v="Shipping Company B"/>
    <s v="John Edwards"/>
    <s v="123 12th Street"/>
    <x v="0"/>
    <s v="NV"/>
    <n v="99999"/>
    <s v="USA"/>
    <s v="Credit Card"/>
    <x v="5"/>
    <x v="0"/>
    <n v="46"/>
    <n v="44"/>
    <x v="6"/>
    <n v="198.352"/>
  </r>
  <r>
    <n v="1008"/>
    <x v="3"/>
    <n v="8"/>
    <x v="3"/>
    <s v="123 8th Street"/>
    <x v="2"/>
    <x v="2"/>
    <n v="99999"/>
    <x v="0"/>
    <x v="2"/>
    <x v="2"/>
    <d v="2014-01-10T00:00:00"/>
    <s v="Shipping Company C"/>
    <s v="Elizabeth Andersen"/>
    <s v="123 8th Street"/>
    <x v="2"/>
    <s v="OR"/>
    <n v="99999"/>
    <s v="USA"/>
    <s v="Credit Card"/>
    <x v="6"/>
    <x v="2"/>
    <n v="9.1999999999999993"/>
    <n v="38"/>
    <x v="7"/>
    <n v="36.008800000000001"/>
  </r>
  <r>
    <n v="1009"/>
    <x v="1"/>
    <n v="4"/>
    <x v="1"/>
    <s v="123 4th Street"/>
    <x v="1"/>
    <x v="1"/>
    <n v="99999"/>
    <x v="0"/>
    <x v="1"/>
    <x v="1"/>
    <d v="2014-01-06T00:00:00"/>
    <s v="Shipping Company C"/>
    <s v="Christina Lee"/>
    <s v="123 4th Street"/>
    <x v="1"/>
    <s v="NY"/>
    <n v="99999"/>
    <s v="USA"/>
    <s v="Check"/>
    <x v="6"/>
    <x v="2"/>
    <n v="9.1999999999999993"/>
    <n v="88"/>
    <x v="8"/>
    <n v="79.340799999999987"/>
  </r>
  <r>
    <n v="1010"/>
    <x v="4"/>
    <n v="29"/>
    <x v="4"/>
    <s v="789 29th Street"/>
    <x v="3"/>
    <x v="3"/>
    <n v="99999"/>
    <x v="0"/>
    <x v="3"/>
    <x v="0"/>
    <d v="2014-01-31T00:00:00"/>
    <s v="Shipping Company B"/>
    <s v="Soo Jung Lee"/>
    <s v="789 29th Street"/>
    <x v="3"/>
    <s v="CO"/>
    <n v="99999"/>
    <s v="USA"/>
    <s v="Check"/>
    <x v="7"/>
    <x v="3"/>
    <n v="12.75"/>
    <n v="94"/>
    <x v="9"/>
    <n v="122.24700000000001"/>
  </r>
  <r>
    <n v="1011"/>
    <x v="5"/>
    <n v="3"/>
    <x v="5"/>
    <s v="123 3rd Street"/>
    <x v="4"/>
    <x v="4"/>
    <n v="99999"/>
    <x v="0"/>
    <x v="0"/>
    <x v="0"/>
    <d v="2014-01-05T00:00:00"/>
    <s v="Shipping Company B"/>
    <s v="Thomas Axerr"/>
    <s v="123 3rd Street"/>
    <x v="4"/>
    <s v="CA"/>
    <n v="99999"/>
    <s v="USA"/>
    <s v="Cash"/>
    <x v="8"/>
    <x v="4"/>
    <n v="9.65"/>
    <n v="91"/>
    <x v="10"/>
    <n v="92.205749999999995"/>
  </r>
  <r>
    <n v="1012"/>
    <x v="6"/>
    <n v="6"/>
    <x v="6"/>
    <s v="123 6th Street"/>
    <x v="5"/>
    <x v="5"/>
    <n v="99999"/>
    <x v="0"/>
    <x v="4"/>
    <x v="2"/>
    <d v="2014-01-08T00:00:00"/>
    <s v="Shipping Company B"/>
    <s v="Francisco Pérez-Olaeta"/>
    <s v="123 6th Street"/>
    <x v="5"/>
    <s v="WI"/>
    <n v="99999"/>
    <s v="USA"/>
    <s v="Credit Card"/>
    <x v="9"/>
    <x v="5"/>
    <n v="40"/>
    <n v="32"/>
    <x v="11"/>
    <n v="133.12"/>
  </r>
  <r>
    <n v="1013"/>
    <x v="7"/>
    <n v="28"/>
    <x v="7"/>
    <s v="789 28th Street"/>
    <x v="6"/>
    <x v="6"/>
    <n v="99999"/>
    <x v="0"/>
    <x v="5"/>
    <x v="3"/>
    <d v="2014-01-30T00:00:00"/>
    <s v="Shipping Company C"/>
    <s v="Amritansh Raghav"/>
    <s v="789 28th Street"/>
    <x v="6"/>
    <s v="TN"/>
    <n v="99999"/>
    <s v="USA"/>
    <s v="Check"/>
    <x v="5"/>
    <x v="0"/>
    <n v="46"/>
    <n v="55"/>
    <x v="12"/>
    <n v="253"/>
  </r>
  <r>
    <n v="1014"/>
    <x v="3"/>
    <n v="8"/>
    <x v="3"/>
    <s v="123 8th Street"/>
    <x v="2"/>
    <x v="2"/>
    <n v="99999"/>
    <x v="0"/>
    <x v="2"/>
    <x v="2"/>
    <d v="2014-01-10T00:00:00"/>
    <s v="Shipping Company C"/>
    <s v="Elizabeth Andersen"/>
    <s v="123 8th Street"/>
    <x v="2"/>
    <s v="OR"/>
    <n v="99999"/>
    <s v="USA"/>
    <s v="Check"/>
    <x v="7"/>
    <x v="3"/>
    <n v="12.75"/>
    <n v="47"/>
    <x v="13"/>
    <n v="61.722750000000005"/>
  </r>
  <r>
    <n v="1015"/>
    <x v="8"/>
    <n v="10"/>
    <x v="8"/>
    <s v="123 10th Street"/>
    <x v="7"/>
    <x v="7"/>
    <n v="99999"/>
    <x v="0"/>
    <x v="6"/>
    <x v="1"/>
    <d v="2014-01-12T00:00:00"/>
    <s v="Shipping Company B"/>
    <s v="Roland Wacker"/>
    <s v="123 10th Street"/>
    <x v="7"/>
    <s v="IL"/>
    <n v="99999"/>
    <s v="USA"/>
    <s v="Credit Card"/>
    <x v="10"/>
    <x v="0"/>
    <n v="2.99"/>
    <n v="90"/>
    <x v="14"/>
    <n v="27.717300000000005"/>
  </r>
  <r>
    <n v="1016"/>
    <x v="9"/>
    <n v="7"/>
    <x v="9"/>
    <s v="123 7th Street"/>
    <x v="8"/>
    <x v="8"/>
    <n v="99999"/>
    <x v="0"/>
    <x v="2"/>
    <x v="2"/>
    <m/>
    <m/>
    <s v="Ming-Yang Xie"/>
    <s v="123 7th Street"/>
    <x v="8"/>
    <s v="ID"/>
    <n v="99999"/>
    <s v="USA"/>
    <m/>
    <x v="5"/>
    <x v="0"/>
    <n v="46"/>
    <n v="24"/>
    <x v="15"/>
    <n v="110.4"/>
  </r>
  <r>
    <n v="1017"/>
    <x v="8"/>
    <n v="10"/>
    <x v="8"/>
    <s v="123 10th Street"/>
    <x v="7"/>
    <x v="7"/>
    <n v="99999"/>
    <x v="0"/>
    <x v="6"/>
    <x v="1"/>
    <d v="2014-01-12T00:00:00"/>
    <s v="Shipping Company A"/>
    <s v="Roland Wacker"/>
    <s v="123 10th Street"/>
    <x v="7"/>
    <s v="IL"/>
    <n v="99999"/>
    <s v="USA"/>
    <m/>
    <x v="11"/>
    <x v="6"/>
    <n v="25"/>
    <n v="34"/>
    <x v="16"/>
    <n v="80.75"/>
  </r>
  <r>
    <n v="1018"/>
    <x v="8"/>
    <n v="10"/>
    <x v="8"/>
    <s v="123 10th Street"/>
    <x v="7"/>
    <x v="7"/>
    <n v="99999"/>
    <x v="0"/>
    <x v="6"/>
    <x v="1"/>
    <d v="2014-01-12T00:00:00"/>
    <s v="Shipping Company A"/>
    <s v="Roland Wacker"/>
    <s v="123 10th Street"/>
    <x v="7"/>
    <s v="IL"/>
    <n v="99999"/>
    <s v="USA"/>
    <m/>
    <x v="12"/>
    <x v="7"/>
    <n v="22"/>
    <n v="17"/>
    <x v="17"/>
    <n v="35.903999999999996"/>
  </r>
  <r>
    <n v="1019"/>
    <x v="8"/>
    <n v="10"/>
    <x v="8"/>
    <s v="123 10th Street"/>
    <x v="7"/>
    <x v="7"/>
    <n v="99999"/>
    <x v="0"/>
    <x v="6"/>
    <x v="1"/>
    <d v="2014-01-12T00:00:00"/>
    <s v="Shipping Company A"/>
    <s v="Roland Wacker"/>
    <s v="123 10th Street"/>
    <x v="7"/>
    <s v="IL"/>
    <n v="99999"/>
    <s v="USA"/>
    <m/>
    <x v="6"/>
    <x v="2"/>
    <n v="9.1999999999999993"/>
    <n v="44"/>
    <x v="18"/>
    <n v="42.099199999999996"/>
  </r>
  <r>
    <n v="1020"/>
    <x v="10"/>
    <n v="11"/>
    <x v="10"/>
    <s v="123 11th Street"/>
    <x v="9"/>
    <x v="9"/>
    <n v="99999"/>
    <x v="0"/>
    <x v="5"/>
    <x v="3"/>
    <m/>
    <s v="Shipping Company C"/>
    <s v="Peter Krschne"/>
    <s v="123 11th Street"/>
    <x v="9"/>
    <s v="FL"/>
    <n v="99999"/>
    <s v="USA"/>
    <m/>
    <x v="1"/>
    <x v="1"/>
    <n v="3.5"/>
    <n v="81"/>
    <x v="19"/>
    <n v="27.499500000000001"/>
  </r>
  <r>
    <n v="1021"/>
    <x v="10"/>
    <n v="11"/>
    <x v="10"/>
    <s v="123 11th Street"/>
    <x v="9"/>
    <x v="9"/>
    <n v="99999"/>
    <x v="0"/>
    <x v="5"/>
    <x v="3"/>
    <m/>
    <s v="Shipping Company C"/>
    <s v="Peter Krschne"/>
    <s v="123 11th Street"/>
    <x v="9"/>
    <s v="FL"/>
    <n v="99999"/>
    <s v="USA"/>
    <m/>
    <x v="10"/>
    <x v="0"/>
    <n v="2.99"/>
    <n v="49"/>
    <x v="20"/>
    <n v="15.090530000000005"/>
  </r>
  <r>
    <n v="1022"/>
    <x v="11"/>
    <n v="1"/>
    <x v="11"/>
    <s v="123 1st Street"/>
    <x v="10"/>
    <x v="10"/>
    <n v="99999"/>
    <x v="0"/>
    <x v="2"/>
    <x v="2"/>
    <m/>
    <m/>
    <s v="Anna Bedecs"/>
    <s v="123 1st Street"/>
    <x v="10"/>
    <s v="WA"/>
    <n v="99999"/>
    <s v="USA"/>
    <m/>
    <x v="4"/>
    <x v="0"/>
    <n v="18"/>
    <n v="42"/>
    <x v="21"/>
    <n v="75.600000000000009"/>
  </r>
  <r>
    <n v="1023"/>
    <x v="11"/>
    <n v="1"/>
    <x v="11"/>
    <s v="123 1st Street"/>
    <x v="10"/>
    <x v="10"/>
    <n v="99999"/>
    <x v="0"/>
    <x v="2"/>
    <x v="2"/>
    <m/>
    <m/>
    <s v="Anna Bedecs"/>
    <s v="123 1st Street"/>
    <x v="10"/>
    <s v="WA"/>
    <n v="99999"/>
    <s v="USA"/>
    <m/>
    <x v="5"/>
    <x v="0"/>
    <n v="46"/>
    <n v="58"/>
    <x v="22"/>
    <n v="269.46800000000002"/>
  </r>
  <r>
    <n v="1024"/>
    <x v="11"/>
    <n v="1"/>
    <x v="11"/>
    <s v="123 1st Street"/>
    <x v="10"/>
    <x v="10"/>
    <n v="99999"/>
    <x v="0"/>
    <x v="2"/>
    <x v="2"/>
    <m/>
    <m/>
    <s v="Anna Bedecs"/>
    <s v="123 1st Street"/>
    <x v="10"/>
    <s v="WA"/>
    <n v="99999"/>
    <s v="USA"/>
    <m/>
    <x v="10"/>
    <x v="0"/>
    <n v="2.99"/>
    <n v="67"/>
    <x v="23"/>
    <n v="20.033000000000001"/>
  </r>
  <r>
    <n v="1025"/>
    <x v="7"/>
    <n v="28"/>
    <x v="7"/>
    <s v="789 28th Street"/>
    <x v="6"/>
    <x v="6"/>
    <n v="99999"/>
    <x v="0"/>
    <x v="5"/>
    <x v="3"/>
    <d v="2014-01-30T00:00:00"/>
    <s v="Shipping Company C"/>
    <s v="Amritansh Raghav"/>
    <s v="789 28th Street"/>
    <x v="6"/>
    <s v="TN"/>
    <n v="99999"/>
    <s v="USA"/>
    <s v="Credit Card"/>
    <x v="8"/>
    <x v="4"/>
    <n v="9.65"/>
    <n v="100"/>
    <x v="24"/>
    <n v="93.605000000000004"/>
  </r>
  <r>
    <n v="1026"/>
    <x v="7"/>
    <n v="28"/>
    <x v="7"/>
    <s v="789 28th Street"/>
    <x v="6"/>
    <x v="6"/>
    <n v="99999"/>
    <x v="0"/>
    <x v="5"/>
    <x v="3"/>
    <d v="2014-01-30T00:00:00"/>
    <s v="Shipping Company C"/>
    <s v="Amritansh Raghav"/>
    <s v="789 28th Street"/>
    <x v="6"/>
    <s v="TN"/>
    <n v="99999"/>
    <s v="USA"/>
    <s v="Credit Card"/>
    <x v="13"/>
    <x v="8"/>
    <n v="18.399999999999999"/>
    <n v="63"/>
    <x v="25"/>
    <n v="114.76079999999999"/>
  </r>
  <r>
    <n v="1027"/>
    <x v="12"/>
    <n v="9"/>
    <x v="12"/>
    <s v="123 9th Street"/>
    <x v="11"/>
    <x v="11"/>
    <n v="99999"/>
    <x v="0"/>
    <x v="7"/>
    <x v="0"/>
    <d v="2014-01-11T00:00:00"/>
    <s v="Shipping Company A"/>
    <s v="Sven Mortensen"/>
    <s v="123 9th Street"/>
    <x v="11"/>
    <s v="UT"/>
    <n v="99999"/>
    <s v="USA"/>
    <s v="Check"/>
    <x v="14"/>
    <x v="9"/>
    <n v="19.5"/>
    <n v="57"/>
    <x v="26"/>
    <n v="110.0385"/>
  </r>
  <r>
    <n v="1028"/>
    <x v="12"/>
    <n v="9"/>
    <x v="12"/>
    <s v="123 9th Street"/>
    <x v="11"/>
    <x v="11"/>
    <n v="99999"/>
    <x v="0"/>
    <x v="7"/>
    <x v="0"/>
    <d v="2014-01-11T00:00:00"/>
    <s v="Shipping Company A"/>
    <s v="Sven Mortensen"/>
    <s v="123 9th Street"/>
    <x v="11"/>
    <s v="UT"/>
    <n v="99999"/>
    <s v="USA"/>
    <s v="Check"/>
    <x v="15"/>
    <x v="10"/>
    <n v="34.799999999999997"/>
    <n v="81"/>
    <x v="27"/>
    <n v="295.97399999999999"/>
  </r>
  <r>
    <n v="1029"/>
    <x v="6"/>
    <n v="6"/>
    <x v="6"/>
    <s v="123 6th Street"/>
    <x v="5"/>
    <x v="5"/>
    <n v="99999"/>
    <x v="0"/>
    <x v="4"/>
    <x v="2"/>
    <d v="2014-01-08T00:00:00"/>
    <s v="Shipping Company B"/>
    <s v="Francisco Pérez-Olaeta"/>
    <s v="123 6th Street"/>
    <x v="5"/>
    <s v="WI"/>
    <n v="99999"/>
    <s v="USA"/>
    <s v="Credit Card"/>
    <x v="0"/>
    <x v="0"/>
    <n v="14"/>
    <n v="71"/>
    <x v="28"/>
    <n v="95.424000000000007"/>
  </r>
  <r>
    <n v="1030"/>
    <x v="13"/>
    <n v="8"/>
    <x v="3"/>
    <s v="123 8th Street"/>
    <x v="2"/>
    <x v="2"/>
    <n v="99999"/>
    <x v="0"/>
    <x v="2"/>
    <x v="2"/>
    <d v="2014-02-10T00:00:00"/>
    <s v="Shipping Company B"/>
    <s v="Elizabeth Andersen"/>
    <s v="123 8th Street"/>
    <x v="2"/>
    <s v="OR"/>
    <n v="99999"/>
    <s v="USA"/>
    <s v="Check"/>
    <x v="9"/>
    <x v="5"/>
    <n v="40"/>
    <n v="32"/>
    <x v="11"/>
    <n v="129.28"/>
  </r>
  <r>
    <n v="1031"/>
    <x v="14"/>
    <n v="3"/>
    <x v="5"/>
    <s v="123 3rd Street"/>
    <x v="4"/>
    <x v="4"/>
    <n v="99999"/>
    <x v="0"/>
    <x v="0"/>
    <x v="0"/>
    <d v="2014-02-05T00:00:00"/>
    <s v="Shipping Company B"/>
    <s v="Thomas Axerr"/>
    <s v="123 3rd Street"/>
    <x v="4"/>
    <s v="CA"/>
    <n v="99999"/>
    <s v="USA"/>
    <s v="Cash"/>
    <x v="16"/>
    <x v="7"/>
    <n v="10"/>
    <n v="63"/>
    <x v="29"/>
    <n v="65.52"/>
  </r>
  <r>
    <n v="1032"/>
    <x v="14"/>
    <n v="3"/>
    <x v="5"/>
    <s v="123 3rd Street"/>
    <x v="4"/>
    <x v="4"/>
    <n v="99999"/>
    <x v="0"/>
    <x v="0"/>
    <x v="0"/>
    <d v="2014-02-05T00:00:00"/>
    <s v="Shipping Company B"/>
    <s v="Thomas Axerr"/>
    <s v="123 3rd Street"/>
    <x v="4"/>
    <s v="CA"/>
    <n v="99999"/>
    <s v="USA"/>
    <s v="Cash"/>
    <x v="9"/>
    <x v="5"/>
    <n v="40"/>
    <n v="30"/>
    <x v="30"/>
    <n v="120"/>
  </r>
  <r>
    <n v="1033"/>
    <x v="15"/>
    <n v="6"/>
    <x v="6"/>
    <s v="123 6th Street"/>
    <x v="5"/>
    <x v="5"/>
    <n v="99999"/>
    <x v="0"/>
    <x v="4"/>
    <x v="2"/>
    <d v="2014-02-08T00:00:00"/>
    <s v="Shipping Company B"/>
    <s v="Francisco Pérez-Olaeta"/>
    <s v="123 6th Street"/>
    <x v="5"/>
    <s v="WI"/>
    <n v="99999"/>
    <s v="USA"/>
    <s v="Credit Card"/>
    <x v="17"/>
    <x v="11"/>
    <m/>
    <m/>
    <x v="31"/>
    <n v="43"/>
  </r>
  <r>
    <n v="1034"/>
    <x v="16"/>
    <n v="28"/>
    <x v="7"/>
    <s v="789 28th Street"/>
    <x v="6"/>
    <x v="6"/>
    <n v="99999"/>
    <x v="0"/>
    <x v="5"/>
    <x v="3"/>
    <d v="2014-03-02T00:00:00"/>
    <s v="Shipping Company C"/>
    <s v="Amritansh Raghav"/>
    <s v="789 28th Street"/>
    <x v="6"/>
    <s v="TN"/>
    <n v="99999"/>
    <s v="USA"/>
    <s v="Check"/>
    <x v="17"/>
    <x v="11"/>
    <m/>
    <m/>
    <x v="31"/>
    <n v="31"/>
  </r>
  <r>
    <n v="1035"/>
    <x v="13"/>
    <n v="8"/>
    <x v="3"/>
    <s v="123 8th Street"/>
    <x v="2"/>
    <x v="2"/>
    <n v="99999"/>
    <x v="0"/>
    <x v="2"/>
    <x v="2"/>
    <d v="2014-02-10T00:00:00"/>
    <s v="Shipping Company C"/>
    <s v="Elizabeth Andersen"/>
    <s v="123 8th Street"/>
    <x v="2"/>
    <s v="OR"/>
    <n v="99999"/>
    <s v="USA"/>
    <s v="Check"/>
    <x v="17"/>
    <x v="11"/>
    <m/>
    <m/>
    <x v="31"/>
    <n v="46"/>
  </r>
  <r>
    <n v="1036"/>
    <x v="17"/>
    <n v="10"/>
    <x v="8"/>
    <s v="123 10th Street"/>
    <x v="7"/>
    <x v="7"/>
    <n v="99999"/>
    <x v="0"/>
    <x v="6"/>
    <x v="1"/>
    <d v="2014-02-12T00:00:00"/>
    <s v="Shipping Company B"/>
    <s v="Roland Wacker"/>
    <s v="123 10th Street"/>
    <x v="7"/>
    <s v="IL"/>
    <n v="99999"/>
    <s v="USA"/>
    <s v="Credit Card"/>
    <x v="18"/>
    <x v="1"/>
    <n v="10"/>
    <n v="47"/>
    <x v="32"/>
    <n v="48.88"/>
  </r>
  <r>
    <n v="1038"/>
    <x v="17"/>
    <n v="10"/>
    <x v="8"/>
    <s v="123 10th Street"/>
    <x v="7"/>
    <x v="7"/>
    <n v="99999"/>
    <x v="0"/>
    <x v="6"/>
    <x v="1"/>
    <m/>
    <s v="Shipping Company A"/>
    <s v="Roland Wacker"/>
    <s v="123 10th Street"/>
    <x v="7"/>
    <s v="IL"/>
    <n v="99999"/>
    <s v="USA"/>
    <m/>
    <x v="1"/>
    <x v="1"/>
    <n v="3.5"/>
    <n v="49"/>
    <x v="33"/>
    <n v="16.464000000000002"/>
  </r>
  <r>
    <n v="1039"/>
    <x v="18"/>
    <n v="11"/>
    <x v="10"/>
    <s v="123 11th Street"/>
    <x v="9"/>
    <x v="9"/>
    <n v="99999"/>
    <x v="0"/>
    <x v="5"/>
    <x v="3"/>
    <m/>
    <s v="Shipping Company C"/>
    <s v="Peter Krschne"/>
    <s v="123 11th Street"/>
    <x v="9"/>
    <s v="FL"/>
    <n v="99999"/>
    <s v="USA"/>
    <m/>
    <x v="9"/>
    <x v="5"/>
    <n v="40"/>
    <n v="72"/>
    <x v="34"/>
    <n v="285.12"/>
  </r>
  <r>
    <n v="1040"/>
    <x v="19"/>
    <n v="1"/>
    <x v="11"/>
    <s v="123 1st Street"/>
    <x v="10"/>
    <x v="10"/>
    <n v="99999"/>
    <x v="0"/>
    <x v="2"/>
    <x v="2"/>
    <m/>
    <s v="Shipping Company C"/>
    <s v="Anna Bedecs"/>
    <s v="123 1st Street"/>
    <x v="10"/>
    <s v="WA"/>
    <n v="99999"/>
    <s v="USA"/>
    <m/>
    <x v="13"/>
    <x v="8"/>
    <n v="18.399999999999999"/>
    <n v="13"/>
    <x v="35"/>
    <n v="23.680800000000001"/>
  </r>
  <r>
    <n v="1041"/>
    <x v="16"/>
    <n v="28"/>
    <x v="7"/>
    <s v="789 28th Street"/>
    <x v="6"/>
    <x v="6"/>
    <n v="99999"/>
    <x v="0"/>
    <x v="5"/>
    <x v="3"/>
    <n v="41700"/>
    <s v="Shipping Company C"/>
    <s v="Amritansh Raghav"/>
    <s v="789 28th Street"/>
    <x v="6"/>
    <s v="TN"/>
    <n v="99999"/>
    <s v="USA"/>
    <s v="Credit Card"/>
    <x v="5"/>
    <x v="0"/>
    <n v="46"/>
    <n v="32"/>
    <x v="36"/>
    <n v="148.67200000000003"/>
  </r>
  <r>
    <n v="1042"/>
    <x v="20"/>
    <n v="9"/>
    <x v="12"/>
    <s v="123 9th Street"/>
    <x v="11"/>
    <x v="11"/>
    <n v="99999"/>
    <x v="0"/>
    <x v="7"/>
    <x v="0"/>
    <d v="2014-02-11T00:00:00"/>
    <s v="Shipping Company A"/>
    <s v="Sven Mortensen"/>
    <s v="123 9th Street"/>
    <x v="11"/>
    <s v="UT"/>
    <n v="99999"/>
    <s v="USA"/>
    <s v="Check"/>
    <x v="8"/>
    <x v="4"/>
    <n v="9.65"/>
    <n v="27"/>
    <x v="37"/>
    <n v="24.752250000000004"/>
  </r>
  <r>
    <n v="1043"/>
    <x v="15"/>
    <n v="6"/>
    <x v="6"/>
    <s v="123 6th Street"/>
    <x v="5"/>
    <x v="5"/>
    <n v="99999"/>
    <x v="0"/>
    <x v="4"/>
    <x v="2"/>
    <d v="2014-02-08T00:00:00"/>
    <s v="Shipping Company B"/>
    <s v="Francisco Pérez-Olaeta"/>
    <s v="123 6th Street"/>
    <x v="5"/>
    <s v="WI"/>
    <n v="99999"/>
    <s v="USA"/>
    <s v="Credit Card"/>
    <x v="7"/>
    <x v="3"/>
    <n v="12.75"/>
    <n v="71"/>
    <x v="38"/>
    <n v="91.430250000000001"/>
  </r>
  <r>
    <n v="1044"/>
    <x v="13"/>
    <n v="8"/>
    <x v="3"/>
    <s v="123 8th Street"/>
    <x v="2"/>
    <x v="2"/>
    <n v="99999"/>
    <x v="0"/>
    <x v="2"/>
    <x v="2"/>
    <d v="2014-02-10T00:00:00"/>
    <s v="Shipping Company B"/>
    <s v="Elizabeth Andersen"/>
    <s v="123 8th Street"/>
    <x v="2"/>
    <s v="OR"/>
    <n v="99999"/>
    <s v="USA"/>
    <s v="Check"/>
    <x v="7"/>
    <x v="3"/>
    <n v="12.75"/>
    <n v="13"/>
    <x v="39"/>
    <n v="15.746249999999998"/>
  </r>
  <r>
    <n v="1045"/>
    <x v="21"/>
    <n v="25"/>
    <x v="13"/>
    <s v="789 25th Street"/>
    <x v="7"/>
    <x v="7"/>
    <n v="99999"/>
    <x v="0"/>
    <x v="6"/>
    <x v="1"/>
    <d v="2014-02-27T00:00:00"/>
    <s v="Shipping Company A"/>
    <s v="John Rodman"/>
    <s v="789 25th Street"/>
    <x v="7"/>
    <s v="IL"/>
    <n v="99999"/>
    <s v="USA"/>
    <s v="Cash"/>
    <x v="12"/>
    <x v="7"/>
    <n v="22"/>
    <n v="98"/>
    <x v="40"/>
    <n v="204.82000000000002"/>
  </r>
  <r>
    <n v="1046"/>
    <x v="22"/>
    <n v="26"/>
    <x v="14"/>
    <s v="789 26th Street"/>
    <x v="9"/>
    <x v="9"/>
    <n v="99999"/>
    <x v="0"/>
    <x v="5"/>
    <x v="3"/>
    <d v="2014-02-28T00:00:00"/>
    <s v="Shipping Company C"/>
    <s v="Run Liu"/>
    <s v="789 26th Street"/>
    <x v="9"/>
    <s v="FL"/>
    <n v="99999"/>
    <s v="USA"/>
    <s v="Credit Card"/>
    <x v="11"/>
    <x v="6"/>
    <n v="25"/>
    <n v="21"/>
    <x v="41"/>
    <n v="53.550000000000004"/>
  </r>
  <r>
    <n v="1047"/>
    <x v="23"/>
    <n v="29"/>
    <x v="4"/>
    <s v="789 29th Street"/>
    <x v="3"/>
    <x v="3"/>
    <n v="99999"/>
    <x v="0"/>
    <x v="3"/>
    <x v="0"/>
    <d v="2014-03-03T00:00:00"/>
    <s v="Shipping Company B"/>
    <s v="Soo Jung Lee"/>
    <s v="789 29th Street"/>
    <x v="3"/>
    <s v="CO"/>
    <n v="99999"/>
    <s v="USA"/>
    <s v="Check"/>
    <x v="19"/>
    <x v="12"/>
    <n v="39"/>
    <n v="26"/>
    <x v="42"/>
    <n v="106.47000000000001"/>
  </r>
  <r>
    <n v="1048"/>
    <x v="15"/>
    <n v="6"/>
    <x v="6"/>
    <s v="123 6th Street"/>
    <x v="5"/>
    <x v="5"/>
    <n v="99999"/>
    <x v="0"/>
    <x v="4"/>
    <x v="2"/>
    <d v="2014-02-08T00:00:00"/>
    <s v="Shipping Company C"/>
    <s v="Francisco Pérez-Olaeta"/>
    <s v="123 6th Street"/>
    <x v="5"/>
    <s v="WI"/>
    <n v="99999"/>
    <s v="USA"/>
    <s v="Check"/>
    <x v="2"/>
    <x v="1"/>
    <n v="30"/>
    <n v="96"/>
    <x v="34"/>
    <n v="296.64"/>
  </r>
  <r>
    <n v="1049"/>
    <x v="15"/>
    <n v="6"/>
    <x v="6"/>
    <s v="123 6th Street"/>
    <x v="5"/>
    <x v="5"/>
    <n v="99999"/>
    <x v="0"/>
    <x v="4"/>
    <x v="2"/>
    <d v="2014-02-08T00:00:00"/>
    <s v="Shipping Company C"/>
    <s v="Francisco Pérez-Olaeta"/>
    <s v="123 6th Street"/>
    <x v="5"/>
    <s v="WI"/>
    <n v="99999"/>
    <s v="USA"/>
    <s v="Check"/>
    <x v="3"/>
    <x v="1"/>
    <n v="53"/>
    <n v="16"/>
    <x v="43"/>
    <n v="88.192000000000021"/>
  </r>
  <r>
    <n v="1050"/>
    <x v="24"/>
    <n v="4"/>
    <x v="1"/>
    <s v="123 4th Street"/>
    <x v="1"/>
    <x v="1"/>
    <n v="99999"/>
    <x v="0"/>
    <x v="1"/>
    <x v="1"/>
    <m/>
    <m/>
    <s v="Christina Lee"/>
    <s v="123 4th Street"/>
    <x v="1"/>
    <s v="NY"/>
    <n v="99999"/>
    <s v="USA"/>
    <m/>
    <x v="20"/>
    <x v="9"/>
    <n v="38"/>
    <n v="96"/>
    <x v="44"/>
    <n v="346.56"/>
  </r>
  <r>
    <n v="1051"/>
    <x v="14"/>
    <n v="3"/>
    <x v="5"/>
    <s v="123 3rd Street"/>
    <x v="4"/>
    <x v="4"/>
    <n v="99999"/>
    <x v="0"/>
    <x v="0"/>
    <x v="0"/>
    <m/>
    <m/>
    <s v="Thomas Axerr"/>
    <s v="123 3rd Street"/>
    <x v="4"/>
    <s v="CA"/>
    <n v="99999"/>
    <s v="USA"/>
    <m/>
    <x v="10"/>
    <x v="0"/>
    <n v="2.99"/>
    <n v="75"/>
    <x v="45"/>
    <n v="23.097750000000005"/>
  </r>
  <r>
    <n v="1052"/>
    <x v="25"/>
    <n v="9"/>
    <x v="12"/>
    <s v="123 9th Street"/>
    <x v="11"/>
    <x v="11"/>
    <n v="99999"/>
    <x v="0"/>
    <x v="7"/>
    <x v="0"/>
    <n v="41709"/>
    <s v="Shipping Company A"/>
    <s v="Sven Mortensen"/>
    <s v="123 9th Street"/>
    <x v="11"/>
    <s v="UT"/>
    <n v="99999"/>
    <s v="USA"/>
    <s v="Check"/>
    <x v="14"/>
    <x v="9"/>
    <n v="19.5"/>
    <n v="55"/>
    <x v="46"/>
    <n v="108.32250000000001"/>
  </r>
  <r>
    <n v="1053"/>
    <x v="25"/>
    <n v="9"/>
    <x v="12"/>
    <s v="123 9th Street"/>
    <x v="11"/>
    <x v="11"/>
    <n v="99999"/>
    <x v="0"/>
    <x v="7"/>
    <x v="0"/>
    <d v="2014-03-11T00:00:00"/>
    <s v="Shipping Company A"/>
    <s v="Sven Mortensen"/>
    <s v="123 9th Street"/>
    <x v="11"/>
    <s v="UT"/>
    <n v="99999"/>
    <s v="USA"/>
    <s v="Check"/>
    <x v="15"/>
    <x v="10"/>
    <n v="34.799999999999997"/>
    <n v="11"/>
    <x v="47"/>
    <n v="36.748799999999996"/>
  </r>
  <r>
    <n v="1054"/>
    <x v="26"/>
    <n v="6"/>
    <x v="6"/>
    <s v="123 6th Street"/>
    <x v="5"/>
    <x v="5"/>
    <n v="99999"/>
    <x v="0"/>
    <x v="4"/>
    <x v="2"/>
    <d v="2014-03-08T00:00:00"/>
    <s v="Shipping Company B"/>
    <s v="Francisco Pérez-Olaeta"/>
    <s v="123 6th Street"/>
    <x v="5"/>
    <s v="WI"/>
    <n v="99999"/>
    <s v="USA"/>
    <s v="Credit Card"/>
    <x v="0"/>
    <x v="0"/>
    <n v="14"/>
    <n v="53"/>
    <x v="48"/>
    <n v="71.974000000000004"/>
  </r>
  <r>
    <n v="1055"/>
    <x v="27"/>
    <n v="8"/>
    <x v="3"/>
    <s v="123 8th Street"/>
    <x v="2"/>
    <x v="2"/>
    <n v="99999"/>
    <x v="0"/>
    <x v="2"/>
    <x v="2"/>
    <d v="2014-03-10T00:00:00"/>
    <s v="Shipping Company B"/>
    <s v="Elizabeth Andersen"/>
    <s v="123 8th Street"/>
    <x v="2"/>
    <s v="OR"/>
    <n v="99999"/>
    <s v="USA"/>
    <s v="Check"/>
    <x v="9"/>
    <x v="5"/>
    <n v="40"/>
    <n v="85"/>
    <x v="49"/>
    <n v="357"/>
  </r>
  <r>
    <n v="1056"/>
    <x v="27"/>
    <n v="8"/>
    <x v="3"/>
    <s v="123 8th Street"/>
    <x v="2"/>
    <x v="2"/>
    <n v="99999"/>
    <x v="0"/>
    <x v="2"/>
    <x v="2"/>
    <d v="2014-03-10T00:00:00"/>
    <s v="Shipping Company B"/>
    <s v="Elizabeth Andersen"/>
    <s v="123 8th Street"/>
    <x v="2"/>
    <s v="OR"/>
    <n v="99999"/>
    <s v="USA"/>
    <s v="Check"/>
    <x v="6"/>
    <x v="2"/>
    <n v="9.1999999999999993"/>
    <n v="97"/>
    <x v="50"/>
    <n v="91.024800000000013"/>
  </r>
  <r>
    <n v="1057"/>
    <x v="28"/>
    <n v="25"/>
    <x v="13"/>
    <s v="789 25th Street"/>
    <x v="7"/>
    <x v="7"/>
    <n v="99999"/>
    <x v="0"/>
    <x v="6"/>
    <x v="1"/>
    <d v="2014-03-27T00:00:00"/>
    <s v="Shipping Company A"/>
    <s v="John Rodman"/>
    <s v="789 25th Street"/>
    <x v="7"/>
    <s v="IL"/>
    <n v="99999"/>
    <s v="USA"/>
    <s v="Cash"/>
    <x v="21"/>
    <x v="2"/>
    <n v="10"/>
    <n v="46"/>
    <x v="51"/>
    <n v="46.46"/>
  </r>
  <r>
    <n v="1058"/>
    <x v="29"/>
    <n v="26"/>
    <x v="14"/>
    <s v="789 26th Street"/>
    <x v="9"/>
    <x v="9"/>
    <n v="99999"/>
    <x v="0"/>
    <x v="5"/>
    <x v="3"/>
    <d v="2014-03-28T00:00:00"/>
    <s v="Shipping Company C"/>
    <s v="Run Liu"/>
    <s v="789 26th Street"/>
    <x v="9"/>
    <s v="FL"/>
    <n v="99999"/>
    <s v="USA"/>
    <s v="Credit Card"/>
    <x v="22"/>
    <x v="13"/>
    <n v="21.35"/>
    <n v="97"/>
    <x v="52"/>
    <n v="196.74025"/>
  </r>
  <r>
    <n v="1059"/>
    <x v="29"/>
    <n v="26"/>
    <x v="14"/>
    <s v="789 26th Street"/>
    <x v="9"/>
    <x v="9"/>
    <n v="99999"/>
    <x v="0"/>
    <x v="5"/>
    <x v="3"/>
    <d v="2014-03-28T00:00:00"/>
    <s v="Shipping Company C"/>
    <s v="Run Liu"/>
    <s v="789 26th Street"/>
    <x v="9"/>
    <s v="FL"/>
    <n v="99999"/>
    <s v="USA"/>
    <s v="Credit Card"/>
    <x v="8"/>
    <x v="4"/>
    <n v="9.65"/>
    <n v="97"/>
    <x v="53"/>
    <n v="95.477100000000021"/>
  </r>
  <r>
    <n v="1060"/>
    <x v="29"/>
    <n v="26"/>
    <x v="14"/>
    <s v="789 26th Street"/>
    <x v="9"/>
    <x v="9"/>
    <n v="99999"/>
    <x v="0"/>
    <x v="5"/>
    <x v="3"/>
    <d v="2014-03-28T00:00:00"/>
    <s v="Shipping Company C"/>
    <s v="Run Liu"/>
    <s v="789 26th Street"/>
    <x v="9"/>
    <s v="FL"/>
    <n v="99999"/>
    <s v="USA"/>
    <s v="Credit Card"/>
    <x v="13"/>
    <x v="8"/>
    <n v="18.399999999999999"/>
    <n v="65"/>
    <x v="54"/>
    <n v="123.18800000000002"/>
  </r>
  <r>
    <n v="1061"/>
    <x v="30"/>
    <n v="29"/>
    <x v="4"/>
    <s v="789 29th Street"/>
    <x v="3"/>
    <x v="3"/>
    <n v="99999"/>
    <x v="0"/>
    <x v="3"/>
    <x v="0"/>
    <d v="2014-03-31T00:00:00"/>
    <s v="Shipping Company B"/>
    <s v="Soo Jung Lee"/>
    <s v="789 29th Street"/>
    <x v="3"/>
    <s v="CO"/>
    <n v="99999"/>
    <s v="USA"/>
    <s v="Check"/>
    <x v="0"/>
    <x v="0"/>
    <n v="14"/>
    <n v="72"/>
    <x v="55"/>
    <n v="100.80000000000001"/>
  </r>
  <r>
    <n v="1062"/>
    <x v="26"/>
    <n v="6"/>
    <x v="6"/>
    <s v="123 6th Street"/>
    <x v="5"/>
    <x v="5"/>
    <n v="99999"/>
    <x v="0"/>
    <x v="4"/>
    <x v="2"/>
    <d v="2014-03-08T00:00:00"/>
    <s v="Shipping Company C"/>
    <s v="Francisco Pérez-Olaeta"/>
    <s v="123 6th Street"/>
    <x v="5"/>
    <s v="WI"/>
    <n v="99999"/>
    <s v="USA"/>
    <s v="Check"/>
    <x v="7"/>
    <x v="3"/>
    <n v="12.75"/>
    <n v="16"/>
    <x v="56"/>
    <n v="20.196000000000002"/>
  </r>
  <r>
    <n v="1064"/>
    <x v="31"/>
    <n v="4"/>
    <x v="1"/>
    <s v="123 4th Street"/>
    <x v="1"/>
    <x v="1"/>
    <n v="99999"/>
    <x v="0"/>
    <x v="1"/>
    <x v="1"/>
    <d v="2014-03-06T00:00:00"/>
    <s v="Shipping Company A"/>
    <s v="Christina Lee"/>
    <s v="123 4th Street"/>
    <x v="1"/>
    <s v="NY"/>
    <n v="99999"/>
    <s v="USA"/>
    <s v="Credit Card"/>
    <x v="23"/>
    <x v="6"/>
    <n v="81"/>
    <n v="77"/>
    <x v="57"/>
    <n v="642.41100000000006"/>
  </r>
  <r>
    <n v="1065"/>
    <x v="31"/>
    <n v="4"/>
    <x v="1"/>
    <s v="123 4th Street"/>
    <x v="1"/>
    <x v="1"/>
    <n v="99999"/>
    <x v="0"/>
    <x v="1"/>
    <x v="1"/>
    <d v="2014-03-06T00:00:00"/>
    <s v="Shipping Company A"/>
    <s v="Christina Lee"/>
    <s v="123 4th Street"/>
    <x v="1"/>
    <s v="NY"/>
    <n v="99999"/>
    <s v="USA"/>
    <s v="Credit Card"/>
    <x v="24"/>
    <x v="14"/>
    <n v="7"/>
    <n v="37"/>
    <x v="58"/>
    <n v="24.605"/>
  </r>
  <r>
    <n v="1067"/>
    <x v="27"/>
    <n v="8"/>
    <x v="3"/>
    <s v="123 8th Street"/>
    <x v="2"/>
    <x v="2"/>
    <n v="99999"/>
    <x v="0"/>
    <x v="2"/>
    <x v="2"/>
    <d v="2014-03-10T00:00:00"/>
    <s v="Shipping Company C"/>
    <s v="Elizabeth Andersen"/>
    <s v="123 8th Street"/>
    <x v="2"/>
    <s v="OR"/>
    <n v="99999"/>
    <s v="USA"/>
    <s v="Credit Card"/>
    <x v="15"/>
    <x v="10"/>
    <n v="34.799999999999997"/>
    <n v="63"/>
    <x v="59"/>
    <n v="217.04759999999999"/>
  </r>
  <r>
    <n v="1070"/>
    <x v="32"/>
    <n v="3"/>
    <x v="5"/>
    <s v="123 3rd Street"/>
    <x v="4"/>
    <x v="4"/>
    <n v="99999"/>
    <x v="0"/>
    <x v="0"/>
    <x v="0"/>
    <d v="2014-03-05T00:00:00"/>
    <s v="Shipping Company B"/>
    <s v="Thomas Axerr"/>
    <s v="123 3rd Street"/>
    <x v="4"/>
    <s v="CA"/>
    <n v="99999"/>
    <s v="USA"/>
    <s v="Cash"/>
    <x v="16"/>
    <x v="7"/>
    <n v="10"/>
    <n v="48"/>
    <x v="60"/>
    <n v="48"/>
  </r>
  <r>
    <n v="1071"/>
    <x v="32"/>
    <n v="3"/>
    <x v="5"/>
    <s v="123 3rd Street"/>
    <x v="4"/>
    <x v="4"/>
    <n v="99999"/>
    <x v="0"/>
    <x v="0"/>
    <x v="0"/>
    <d v="2014-03-05T00:00:00"/>
    <s v="Shipping Company B"/>
    <s v="Thomas Axerr"/>
    <s v="123 3rd Street"/>
    <x v="4"/>
    <s v="CA"/>
    <n v="99999"/>
    <s v="USA"/>
    <s v="Cash"/>
    <x v="9"/>
    <x v="5"/>
    <n v="40"/>
    <n v="71"/>
    <x v="61"/>
    <n v="295.36"/>
  </r>
  <r>
    <n v="1075"/>
    <x v="33"/>
    <n v="10"/>
    <x v="8"/>
    <s v="123 10th Street"/>
    <x v="7"/>
    <x v="7"/>
    <n v="99999"/>
    <x v="0"/>
    <x v="6"/>
    <x v="1"/>
    <d v="2014-03-12T00:00:00"/>
    <s v="Shipping Company B"/>
    <s v="Roland Wacker"/>
    <s v="123 10th Street"/>
    <x v="7"/>
    <s v="IL"/>
    <n v="99999"/>
    <s v="USA"/>
    <s v="Credit Card"/>
    <x v="18"/>
    <x v="1"/>
    <n v="10"/>
    <n v="55"/>
    <x v="62"/>
    <n v="55"/>
  </r>
  <r>
    <n v="1077"/>
    <x v="33"/>
    <n v="10"/>
    <x v="8"/>
    <s v="123 10th Street"/>
    <x v="7"/>
    <x v="7"/>
    <n v="99999"/>
    <x v="0"/>
    <x v="6"/>
    <x v="1"/>
    <m/>
    <s v="Shipping Company A"/>
    <s v="Roland Wacker"/>
    <s v="123 10th Street"/>
    <x v="7"/>
    <s v="IL"/>
    <n v="99999"/>
    <s v="USA"/>
    <m/>
    <x v="1"/>
    <x v="1"/>
    <n v="3.5"/>
    <n v="21"/>
    <x v="63"/>
    <n v="7.3500000000000005"/>
  </r>
  <r>
    <n v="1078"/>
    <x v="34"/>
    <n v="11"/>
    <x v="10"/>
    <s v="123 11th Street"/>
    <x v="9"/>
    <x v="9"/>
    <n v="99999"/>
    <x v="0"/>
    <x v="5"/>
    <x v="3"/>
    <m/>
    <s v="Shipping Company C"/>
    <s v="Peter Krschne"/>
    <s v="123 11th Street"/>
    <x v="9"/>
    <s v="FL"/>
    <n v="99999"/>
    <s v="USA"/>
    <m/>
    <x v="9"/>
    <x v="5"/>
    <n v="40"/>
    <n v="67"/>
    <x v="64"/>
    <n v="270.68"/>
  </r>
  <r>
    <n v="1079"/>
    <x v="23"/>
    <n v="1"/>
    <x v="11"/>
    <s v="123 1st Street"/>
    <x v="10"/>
    <x v="10"/>
    <n v="99999"/>
    <x v="0"/>
    <x v="2"/>
    <x v="2"/>
    <m/>
    <s v="Shipping Company C"/>
    <s v="Anna Bedecs"/>
    <s v="123 1st Street"/>
    <x v="10"/>
    <s v="WA"/>
    <n v="99999"/>
    <s v="USA"/>
    <m/>
    <x v="13"/>
    <x v="8"/>
    <n v="18.399999999999999"/>
    <n v="75"/>
    <x v="65"/>
    <n v="138"/>
  </r>
  <r>
    <n v="1080"/>
    <x v="35"/>
    <n v="28"/>
    <x v="7"/>
    <s v="789 28th Street"/>
    <x v="6"/>
    <x v="6"/>
    <n v="99999"/>
    <x v="0"/>
    <x v="5"/>
    <x v="3"/>
    <d v="2014-03-30T00:00:00"/>
    <s v="Shipping Company C"/>
    <s v="Amritansh Raghav"/>
    <s v="789 28th Street"/>
    <x v="6"/>
    <s v="TN"/>
    <n v="99999"/>
    <s v="USA"/>
    <s v="Credit Card"/>
    <x v="5"/>
    <x v="0"/>
    <n v="46"/>
    <n v="17"/>
    <x v="66"/>
    <n v="80.546000000000006"/>
  </r>
  <r>
    <n v="1081"/>
    <x v="36"/>
    <n v="4"/>
    <x v="1"/>
    <s v="123 4th Street"/>
    <x v="1"/>
    <x v="1"/>
    <n v="99999"/>
    <x v="0"/>
    <x v="1"/>
    <x v="1"/>
    <d v="2014-04-06T00:00:00"/>
    <s v="Shipping Company A"/>
    <s v="Christina Lee"/>
    <s v="123 4th Street"/>
    <x v="1"/>
    <s v="NY"/>
    <n v="99999"/>
    <s v="USA"/>
    <s v="Credit Card"/>
    <x v="1"/>
    <x v="1"/>
    <n v="3.5"/>
    <n v="48"/>
    <x v="67"/>
    <n v="16.295999999999999"/>
  </r>
  <r>
    <n v="1082"/>
    <x v="37"/>
    <n v="12"/>
    <x v="2"/>
    <s v="123 12th Street"/>
    <x v="0"/>
    <x v="0"/>
    <n v="99999"/>
    <x v="0"/>
    <x v="0"/>
    <x v="0"/>
    <d v="2014-04-14T00:00:00"/>
    <s v="Shipping Company B"/>
    <s v="John Edwards"/>
    <s v="123 12th Street"/>
    <x v="0"/>
    <s v="NV"/>
    <n v="99999"/>
    <s v="USA"/>
    <s v="Credit Card"/>
    <x v="4"/>
    <x v="0"/>
    <n v="18"/>
    <n v="74"/>
    <x v="68"/>
    <n v="137.19600000000003"/>
  </r>
  <r>
    <n v="1083"/>
    <x v="37"/>
    <n v="12"/>
    <x v="2"/>
    <s v="123 12th Street"/>
    <x v="0"/>
    <x v="0"/>
    <n v="99999"/>
    <x v="0"/>
    <x v="0"/>
    <x v="0"/>
    <d v="2014-04-14T00:00:00"/>
    <s v="Shipping Company B"/>
    <s v="John Edwards"/>
    <s v="123 12th Street"/>
    <x v="0"/>
    <s v="NV"/>
    <n v="99999"/>
    <s v="USA"/>
    <s v="Credit Card"/>
    <x v="5"/>
    <x v="0"/>
    <n v="46"/>
    <n v="96"/>
    <x v="69"/>
    <n v="428.35200000000003"/>
  </r>
  <r>
    <n v="1084"/>
    <x v="38"/>
    <n v="8"/>
    <x v="3"/>
    <s v="123 8th Street"/>
    <x v="2"/>
    <x v="2"/>
    <n v="99999"/>
    <x v="0"/>
    <x v="2"/>
    <x v="2"/>
    <d v="2014-04-10T00:00:00"/>
    <s v="Shipping Company C"/>
    <s v="Elizabeth Andersen"/>
    <s v="123 8th Street"/>
    <x v="2"/>
    <s v="OR"/>
    <n v="99999"/>
    <s v="USA"/>
    <s v="Credit Card"/>
    <x v="6"/>
    <x v="2"/>
    <n v="9.1999999999999993"/>
    <n v="12"/>
    <x v="70"/>
    <n v="11.3712"/>
  </r>
  <r>
    <n v="1085"/>
    <x v="36"/>
    <n v="4"/>
    <x v="1"/>
    <s v="123 4th Street"/>
    <x v="1"/>
    <x v="1"/>
    <n v="99999"/>
    <x v="0"/>
    <x v="1"/>
    <x v="1"/>
    <n v="41735"/>
    <s v="Shipping Company C"/>
    <s v="Christina Lee"/>
    <s v="123 4th Street"/>
    <x v="1"/>
    <s v="NY"/>
    <n v="99999"/>
    <s v="USA"/>
    <s v="Check"/>
    <x v="6"/>
    <x v="2"/>
    <n v="9.1999999999999993"/>
    <n v="62"/>
    <x v="71"/>
    <n v="58.751199999999997"/>
  </r>
  <r>
    <n v="1086"/>
    <x v="39"/>
    <n v="29"/>
    <x v="4"/>
    <s v="789 29th Street"/>
    <x v="3"/>
    <x v="3"/>
    <n v="99999"/>
    <x v="0"/>
    <x v="3"/>
    <x v="0"/>
    <n v="41760"/>
    <s v="Shipping Company B"/>
    <s v="Soo Jung Lee"/>
    <s v="789 29th Street"/>
    <x v="3"/>
    <s v="CO"/>
    <n v="99999"/>
    <s v="USA"/>
    <s v="Check"/>
    <x v="7"/>
    <x v="3"/>
    <n v="12.75"/>
    <n v="35"/>
    <x v="72"/>
    <n v="45.963750000000005"/>
  </r>
  <r>
    <n v="1087"/>
    <x v="40"/>
    <n v="3"/>
    <x v="5"/>
    <s v="123 3rd Street"/>
    <x v="4"/>
    <x v="4"/>
    <n v="99999"/>
    <x v="0"/>
    <x v="0"/>
    <x v="0"/>
    <n v="41734"/>
    <s v="Shipping Company B"/>
    <s v="Thomas Axerr"/>
    <s v="123 3rd Street"/>
    <x v="4"/>
    <s v="CA"/>
    <n v="99999"/>
    <s v="USA"/>
    <s v="Cash"/>
    <x v="8"/>
    <x v="4"/>
    <n v="9.65"/>
    <n v="95"/>
    <x v="73"/>
    <n v="91.675000000000011"/>
  </r>
  <r>
    <n v="1088"/>
    <x v="41"/>
    <n v="6"/>
    <x v="6"/>
    <s v="123 6th Street"/>
    <x v="5"/>
    <x v="5"/>
    <n v="99999"/>
    <x v="0"/>
    <x v="4"/>
    <x v="2"/>
    <n v="41737"/>
    <s v="Shipping Company B"/>
    <s v="Francisco Pérez-Olaeta"/>
    <s v="123 6th Street"/>
    <x v="5"/>
    <s v="WI"/>
    <n v="99999"/>
    <s v="USA"/>
    <s v="Credit Card"/>
    <x v="9"/>
    <x v="5"/>
    <n v="40"/>
    <n v="17"/>
    <x v="74"/>
    <n v="68.680000000000007"/>
  </r>
  <r>
    <n v="1089"/>
    <x v="42"/>
    <n v="28"/>
    <x v="7"/>
    <s v="789 28th Street"/>
    <x v="6"/>
    <x v="6"/>
    <n v="99999"/>
    <x v="0"/>
    <x v="5"/>
    <x v="3"/>
    <d v="2014-04-30T00:00:00"/>
    <s v="Shipping Company C"/>
    <s v="Amritansh Raghav"/>
    <s v="789 28th Street"/>
    <x v="6"/>
    <s v="TN"/>
    <n v="99999"/>
    <s v="USA"/>
    <s v="Check"/>
    <x v="5"/>
    <x v="0"/>
    <n v="46"/>
    <n v="96"/>
    <x v="69"/>
    <n v="463.68000000000006"/>
  </r>
  <r>
    <n v="1090"/>
    <x v="38"/>
    <n v="8"/>
    <x v="3"/>
    <s v="123 8th Street"/>
    <x v="2"/>
    <x v="2"/>
    <n v="99999"/>
    <x v="0"/>
    <x v="2"/>
    <x v="2"/>
    <d v="2014-04-10T00:00:00"/>
    <s v="Shipping Company C"/>
    <s v="Elizabeth Andersen"/>
    <s v="123 8th Street"/>
    <x v="2"/>
    <s v="OR"/>
    <n v="99999"/>
    <s v="USA"/>
    <s v="Check"/>
    <x v="7"/>
    <x v="3"/>
    <n v="12.75"/>
    <n v="83"/>
    <x v="75"/>
    <n v="102.65025"/>
  </r>
  <r>
    <n v="1091"/>
    <x v="43"/>
    <n v="10"/>
    <x v="8"/>
    <s v="123 10th Street"/>
    <x v="7"/>
    <x v="7"/>
    <n v="99999"/>
    <x v="0"/>
    <x v="6"/>
    <x v="1"/>
    <d v="2014-04-12T00:00:00"/>
    <s v="Shipping Company B"/>
    <s v="Roland Wacker"/>
    <s v="123 10th Street"/>
    <x v="7"/>
    <s v="IL"/>
    <n v="99999"/>
    <s v="USA"/>
    <s v="Credit Card"/>
    <x v="10"/>
    <x v="0"/>
    <n v="2.99"/>
    <n v="88"/>
    <x v="76"/>
    <n v="26.04888"/>
  </r>
  <r>
    <n v="1092"/>
    <x v="44"/>
    <n v="7"/>
    <x v="9"/>
    <s v="123 7th Street"/>
    <x v="8"/>
    <x v="8"/>
    <n v="99999"/>
    <x v="0"/>
    <x v="2"/>
    <x v="2"/>
    <m/>
    <m/>
    <s v="Ming-Yang Xie"/>
    <s v="123 7th Street"/>
    <x v="8"/>
    <s v="ID"/>
    <n v="99999"/>
    <s v="USA"/>
    <m/>
    <x v="5"/>
    <x v="0"/>
    <n v="46"/>
    <n v="59"/>
    <x v="77"/>
    <n v="284.97000000000003"/>
  </r>
  <r>
    <n v="1093"/>
    <x v="43"/>
    <n v="10"/>
    <x v="8"/>
    <s v="123 10th Street"/>
    <x v="7"/>
    <x v="7"/>
    <n v="99999"/>
    <x v="0"/>
    <x v="6"/>
    <x v="1"/>
    <d v="2014-04-12T00:00:00"/>
    <s v="Shipping Company A"/>
    <s v="Roland Wacker"/>
    <s v="123 10th Street"/>
    <x v="7"/>
    <s v="IL"/>
    <n v="99999"/>
    <s v="USA"/>
    <m/>
    <x v="11"/>
    <x v="6"/>
    <n v="25"/>
    <n v="27"/>
    <x v="78"/>
    <n v="68.849999999999994"/>
  </r>
  <r>
    <n v="1094"/>
    <x v="43"/>
    <n v="10"/>
    <x v="8"/>
    <s v="123 10th Street"/>
    <x v="7"/>
    <x v="7"/>
    <n v="99999"/>
    <x v="0"/>
    <x v="6"/>
    <x v="1"/>
    <d v="2014-04-12T00:00:00"/>
    <s v="Shipping Company A"/>
    <s v="Roland Wacker"/>
    <s v="123 10th Street"/>
    <x v="7"/>
    <s v="IL"/>
    <n v="99999"/>
    <s v="USA"/>
    <m/>
    <x v="12"/>
    <x v="7"/>
    <n v="22"/>
    <n v="37"/>
    <x v="79"/>
    <n v="85.470000000000013"/>
  </r>
  <r>
    <n v="1095"/>
    <x v="43"/>
    <n v="10"/>
    <x v="8"/>
    <s v="123 10th Street"/>
    <x v="7"/>
    <x v="7"/>
    <n v="99999"/>
    <x v="0"/>
    <x v="6"/>
    <x v="1"/>
    <d v="2014-04-12T00:00:00"/>
    <s v="Shipping Company A"/>
    <s v="Roland Wacker"/>
    <s v="123 10th Street"/>
    <x v="7"/>
    <s v="IL"/>
    <n v="99999"/>
    <s v="USA"/>
    <m/>
    <x v="6"/>
    <x v="2"/>
    <n v="9.1999999999999993"/>
    <n v="75"/>
    <x v="80"/>
    <n v="69"/>
  </r>
  <r>
    <n v="1096"/>
    <x v="45"/>
    <n v="11"/>
    <x v="10"/>
    <s v="123 11th Street"/>
    <x v="9"/>
    <x v="9"/>
    <n v="99999"/>
    <x v="0"/>
    <x v="5"/>
    <x v="3"/>
    <m/>
    <s v="Shipping Company C"/>
    <s v="Peter Krschne"/>
    <s v="123 11th Street"/>
    <x v="9"/>
    <s v="FL"/>
    <n v="99999"/>
    <s v="USA"/>
    <m/>
    <x v="1"/>
    <x v="1"/>
    <n v="3.5"/>
    <n v="71"/>
    <x v="81"/>
    <n v="24.104500000000002"/>
  </r>
  <r>
    <n v="1097"/>
    <x v="45"/>
    <n v="11"/>
    <x v="10"/>
    <s v="123 11th Street"/>
    <x v="9"/>
    <x v="9"/>
    <n v="99999"/>
    <x v="0"/>
    <x v="5"/>
    <x v="3"/>
    <m/>
    <s v="Shipping Company C"/>
    <s v="Peter Krschne"/>
    <s v="123 11th Street"/>
    <x v="9"/>
    <s v="FL"/>
    <n v="99999"/>
    <s v="USA"/>
    <m/>
    <x v="10"/>
    <x v="0"/>
    <n v="2.99"/>
    <n v="88"/>
    <x v="76"/>
    <n v="26.04888"/>
  </r>
  <r>
    <n v="1098"/>
    <x v="46"/>
    <n v="1"/>
    <x v="11"/>
    <s v="123 1st Street"/>
    <x v="10"/>
    <x v="10"/>
    <n v="99999"/>
    <x v="0"/>
    <x v="2"/>
    <x v="2"/>
    <m/>
    <m/>
    <s v="Anna Bedecs"/>
    <s v="123 1st Street"/>
    <x v="10"/>
    <s v="WA"/>
    <n v="99999"/>
    <s v="USA"/>
    <m/>
    <x v="4"/>
    <x v="0"/>
    <n v="18"/>
    <n v="55"/>
    <x v="82"/>
    <n v="97.02"/>
  </r>
  <r>
    <n v="1099"/>
    <x v="47"/>
    <n v="29"/>
    <x v="4"/>
    <s v="789 29th Street"/>
    <x v="3"/>
    <x v="3"/>
    <n v="99999"/>
    <x v="0"/>
    <x v="3"/>
    <x v="0"/>
    <d v="2014-05-31T00:00:00"/>
    <s v="Shipping Company B"/>
    <s v="Soo Jung Lee"/>
    <s v="789 29th Street"/>
    <x v="3"/>
    <s v="CO"/>
    <n v="99999"/>
    <s v="USA"/>
    <s v="Check"/>
    <x v="7"/>
    <x v="3"/>
    <n v="12.75"/>
    <n v="14"/>
    <x v="83"/>
    <n v="16.9575"/>
  </r>
  <r>
    <n v="1100"/>
    <x v="48"/>
    <n v="3"/>
    <x v="5"/>
    <s v="123 3rd Street"/>
    <x v="4"/>
    <x v="4"/>
    <n v="99999"/>
    <x v="0"/>
    <x v="0"/>
    <x v="0"/>
    <d v="2014-05-05T00:00:00"/>
    <s v="Shipping Company B"/>
    <s v="Thomas Axerr"/>
    <s v="123 3rd Street"/>
    <x v="4"/>
    <s v="CA"/>
    <n v="99999"/>
    <s v="USA"/>
    <s v="Cash"/>
    <x v="8"/>
    <x v="4"/>
    <n v="9.65"/>
    <n v="43"/>
    <x v="84"/>
    <n v="42.324900000000007"/>
  </r>
  <r>
    <n v="1101"/>
    <x v="49"/>
    <n v="6"/>
    <x v="6"/>
    <s v="123 6th Street"/>
    <x v="5"/>
    <x v="5"/>
    <n v="99999"/>
    <x v="0"/>
    <x v="4"/>
    <x v="2"/>
    <n v="41767"/>
    <s v="Shipping Company B"/>
    <s v="Francisco Pérez-Olaeta"/>
    <s v="123 6th Street"/>
    <x v="5"/>
    <s v="WI"/>
    <n v="99999"/>
    <s v="USA"/>
    <s v="Credit Card"/>
    <x v="9"/>
    <x v="5"/>
    <n v="40"/>
    <n v="63"/>
    <x v="85"/>
    <n v="254.52"/>
  </r>
  <r>
    <n v="1102"/>
    <x v="50"/>
    <n v="28"/>
    <x v="7"/>
    <s v="789 28th Street"/>
    <x v="6"/>
    <x v="6"/>
    <n v="99999"/>
    <x v="0"/>
    <x v="5"/>
    <x v="3"/>
    <d v="2014-05-30T00:00:00"/>
    <s v="Shipping Company C"/>
    <s v="Amritansh Raghav"/>
    <s v="789 28th Street"/>
    <x v="6"/>
    <s v="TN"/>
    <n v="99999"/>
    <s v="USA"/>
    <s v="Check"/>
    <x v="5"/>
    <x v="0"/>
    <n v="46"/>
    <n v="36"/>
    <x v="86"/>
    <n v="165.60000000000002"/>
  </r>
  <r>
    <n v="1103"/>
    <x v="51"/>
    <n v="8"/>
    <x v="3"/>
    <s v="123 8th Street"/>
    <x v="2"/>
    <x v="2"/>
    <n v="99999"/>
    <x v="0"/>
    <x v="2"/>
    <x v="2"/>
    <d v="2014-05-10T00:00:00"/>
    <s v="Shipping Company C"/>
    <s v="Elizabeth Andersen"/>
    <s v="123 8th Street"/>
    <x v="2"/>
    <s v="OR"/>
    <n v="99999"/>
    <s v="USA"/>
    <s v="Check"/>
    <x v="7"/>
    <x v="3"/>
    <n v="12.75"/>
    <n v="41"/>
    <x v="87"/>
    <n v="54.366000000000007"/>
  </r>
  <r>
    <n v="1104"/>
    <x v="52"/>
    <n v="10"/>
    <x v="8"/>
    <s v="123 10th Street"/>
    <x v="7"/>
    <x v="7"/>
    <n v="99999"/>
    <x v="0"/>
    <x v="6"/>
    <x v="1"/>
    <d v="2014-05-12T00:00:00"/>
    <s v="Shipping Company B"/>
    <s v="Roland Wacker"/>
    <s v="123 10th Street"/>
    <x v="7"/>
    <s v="IL"/>
    <n v="99999"/>
    <s v="USA"/>
    <s v="Credit Card"/>
    <x v="10"/>
    <x v="0"/>
    <n v="2.99"/>
    <n v="35"/>
    <x v="88"/>
    <n v="10.255700000000001"/>
  </r>
  <r>
    <n v="1105"/>
    <x v="53"/>
    <n v="7"/>
    <x v="9"/>
    <s v="123 7th Street"/>
    <x v="8"/>
    <x v="8"/>
    <n v="99999"/>
    <x v="0"/>
    <x v="2"/>
    <x v="2"/>
    <m/>
    <m/>
    <s v="Ming-Yang Xie"/>
    <s v="123 7th Street"/>
    <x v="8"/>
    <s v="ID"/>
    <n v="99999"/>
    <s v="USA"/>
    <m/>
    <x v="5"/>
    <x v="0"/>
    <n v="46"/>
    <n v="31"/>
    <x v="89"/>
    <n v="136.89599999999999"/>
  </r>
  <r>
    <n v="1106"/>
    <x v="52"/>
    <n v="10"/>
    <x v="8"/>
    <s v="123 10th Street"/>
    <x v="7"/>
    <x v="7"/>
    <n v="99999"/>
    <x v="0"/>
    <x v="6"/>
    <x v="1"/>
    <n v="41771"/>
    <s v="Shipping Company A"/>
    <s v="Roland Wacker"/>
    <s v="123 10th Street"/>
    <x v="7"/>
    <s v="IL"/>
    <n v="99999"/>
    <s v="USA"/>
    <m/>
    <x v="11"/>
    <x v="6"/>
    <n v="25"/>
    <n v="52"/>
    <x v="90"/>
    <n v="123.5"/>
  </r>
  <r>
    <n v="1107"/>
    <x v="52"/>
    <n v="10"/>
    <x v="8"/>
    <s v="123 10th Street"/>
    <x v="7"/>
    <x v="7"/>
    <n v="99999"/>
    <x v="0"/>
    <x v="6"/>
    <x v="1"/>
    <n v="41771"/>
    <s v="Shipping Company A"/>
    <s v="Roland Wacker"/>
    <s v="123 10th Street"/>
    <x v="7"/>
    <s v="IL"/>
    <n v="99999"/>
    <s v="USA"/>
    <m/>
    <x v="12"/>
    <x v="7"/>
    <n v="22"/>
    <n v="30"/>
    <x v="91"/>
    <n v="67.320000000000007"/>
  </r>
  <r>
    <n v="1108"/>
    <x v="52"/>
    <n v="10"/>
    <x v="8"/>
    <s v="123 10th Street"/>
    <x v="7"/>
    <x v="7"/>
    <n v="99999"/>
    <x v="0"/>
    <x v="6"/>
    <x v="1"/>
    <d v="2014-05-12T00:00:00"/>
    <s v="Shipping Company A"/>
    <s v="Roland Wacker"/>
    <s v="123 10th Street"/>
    <x v="7"/>
    <s v="IL"/>
    <n v="99999"/>
    <s v="USA"/>
    <m/>
    <x v="6"/>
    <x v="2"/>
    <n v="9.1999999999999993"/>
    <n v="41"/>
    <x v="92"/>
    <n v="38.474400000000003"/>
  </r>
  <r>
    <n v="1109"/>
    <x v="54"/>
    <n v="11"/>
    <x v="10"/>
    <s v="123 11th Street"/>
    <x v="9"/>
    <x v="9"/>
    <n v="99999"/>
    <x v="0"/>
    <x v="5"/>
    <x v="3"/>
    <m/>
    <s v="Shipping Company C"/>
    <s v="Peter Krschne"/>
    <s v="123 11th Street"/>
    <x v="9"/>
    <s v="FL"/>
    <n v="99999"/>
    <s v="USA"/>
    <m/>
    <x v="1"/>
    <x v="1"/>
    <n v="3.5"/>
    <n v="44"/>
    <x v="93"/>
    <n v="15.246"/>
  </r>
  <r>
    <n v="1110"/>
    <x v="54"/>
    <n v="11"/>
    <x v="10"/>
    <s v="123 11th Street"/>
    <x v="9"/>
    <x v="9"/>
    <n v="99999"/>
    <x v="0"/>
    <x v="5"/>
    <x v="3"/>
    <m/>
    <s v="Shipping Company C"/>
    <s v="Peter Krschne"/>
    <s v="123 11th Street"/>
    <x v="9"/>
    <s v="FL"/>
    <n v="99999"/>
    <s v="USA"/>
    <m/>
    <x v="10"/>
    <x v="0"/>
    <n v="2.99"/>
    <n v="77"/>
    <x v="94"/>
    <n v="23.023000000000003"/>
  </r>
  <r>
    <n v="1111"/>
    <x v="55"/>
    <n v="1"/>
    <x v="11"/>
    <s v="123 1st Street"/>
    <x v="10"/>
    <x v="10"/>
    <n v="99999"/>
    <x v="0"/>
    <x v="2"/>
    <x v="2"/>
    <m/>
    <m/>
    <s v="Anna Bedecs"/>
    <s v="123 1st Street"/>
    <x v="10"/>
    <s v="WA"/>
    <n v="99999"/>
    <s v="USA"/>
    <m/>
    <x v="4"/>
    <x v="0"/>
    <n v="18"/>
    <n v="29"/>
    <x v="95"/>
    <n v="52.722000000000001"/>
  </r>
  <r>
    <n v="1112"/>
    <x v="55"/>
    <n v="1"/>
    <x v="11"/>
    <s v="123 1st Street"/>
    <x v="10"/>
    <x v="10"/>
    <n v="99999"/>
    <x v="0"/>
    <x v="2"/>
    <x v="2"/>
    <m/>
    <m/>
    <s v="Anna Bedecs"/>
    <s v="123 1st Street"/>
    <x v="10"/>
    <s v="WA"/>
    <n v="99999"/>
    <s v="USA"/>
    <m/>
    <x v="5"/>
    <x v="0"/>
    <n v="46"/>
    <n v="77"/>
    <x v="96"/>
    <n v="368.36800000000005"/>
  </r>
  <r>
    <n v="1113"/>
    <x v="55"/>
    <n v="1"/>
    <x v="11"/>
    <s v="123 1st Street"/>
    <x v="10"/>
    <x v="10"/>
    <n v="99999"/>
    <x v="0"/>
    <x v="2"/>
    <x v="2"/>
    <m/>
    <m/>
    <s v="Anna Bedecs"/>
    <s v="123 1st Street"/>
    <x v="10"/>
    <s v="WA"/>
    <n v="99999"/>
    <s v="USA"/>
    <m/>
    <x v="10"/>
    <x v="0"/>
    <n v="2.99"/>
    <n v="73"/>
    <x v="97"/>
    <n v="21.827000000000002"/>
  </r>
  <r>
    <n v="1114"/>
    <x v="50"/>
    <n v="28"/>
    <x v="7"/>
    <s v="789 28th Street"/>
    <x v="6"/>
    <x v="6"/>
    <n v="99999"/>
    <x v="0"/>
    <x v="5"/>
    <x v="3"/>
    <n v="41789"/>
    <s v="Shipping Company C"/>
    <s v="Amritansh Raghav"/>
    <s v="789 28th Street"/>
    <x v="6"/>
    <s v="TN"/>
    <n v="99999"/>
    <s v="USA"/>
    <s v="Credit Card"/>
    <x v="8"/>
    <x v="4"/>
    <n v="9.65"/>
    <n v="74"/>
    <x v="98"/>
    <n v="67.839500000000001"/>
  </r>
  <r>
    <n v="1115"/>
    <x v="50"/>
    <n v="28"/>
    <x v="7"/>
    <s v="789 28th Street"/>
    <x v="6"/>
    <x v="6"/>
    <n v="99999"/>
    <x v="0"/>
    <x v="5"/>
    <x v="3"/>
    <d v="2014-05-30T00:00:00"/>
    <s v="Shipping Company C"/>
    <s v="Amritansh Raghav"/>
    <s v="789 28th Street"/>
    <x v="6"/>
    <s v="TN"/>
    <n v="99999"/>
    <s v="USA"/>
    <s v="Credit Card"/>
    <x v="13"/>
    <x v="8"/>
    <n v="18.399999999999999"/>
    <n v="25"/>
    <x v="99"/>
    <n v="46.46"/>
  </r>
  <r>
    <n v="1116"/>
    <x v="56"/>
    <n v="9"/>
    <x v="12"/>
    <s v="123 9th Street"/>
    <x v="11"/>
    <x v="11"/>
    <n v="99999"/>
    <x v="0"/>
    <x v="7"/>
    <x v="0"/>
    <d v="2014-05-11T00:00:00"/>
    <s v="Shipping Company A"/>
    <s v="Sven Mortensen"/>
    <s v="123 9th Street"/>
    <x v="11"/>
    <s v="UT"/>
    <n v="99999"/>
    <s v="USA"/>
    <s v="Check"/>
    <x v="14"/>
    <x v="9"/>
    <n v="19.5"/>
    <n v="82"/>
    <x v="100"/>
    <n v="153.50399999999999"/>
  </r>
  <r>
    <n v="1117"/>
    <x v="56"/>
    <n v="9"/>
    <x v="12"/>
    <s v="123 9th Street"/>
    <x v="11"/>
    <x v="11"/>
    <n v="99999"/>
    <x v="0"/>
    <x v="7"/>
    <x v="0"/>
    <d v="2014-05-11T00:00:00"/>
    <s v="Shipping Company A"/>
    <s v="Sven Mortensen"/>
    <s v="123 9th Street"/>
    <x v="11"/>
    <s v="UT"/>
    <n v="99999"/>
    <s v="USA"/>
    <s v="Check"/>
    <x v="15"/>
    <x v="10"/>
    <n v="34.799999999999997"/>
    <n v="37"/>
    <x v="101"/>
    <n v="132.62279999999998"/>
  </r>
  <r>
    <n v="1118"/>
    <x v="49"/>
    <n v="6"/>
    <x v="6"/>
    <s v="123 6th Street"/>
    <x v="5"/>
    <x v="5"/>
    <n v="99999"/>
    <x v="0"/>
    <x v="4"/>
    <x v="2"/>
    <n v="41767"/>
    <s v="Shipping Company B"/>
    <s v="Francisco Pérez-Olaeta"/>
    <s v="123 6th Street"/>
    <x v="5"/>
    <s v="WI"/>
    <n v="99999"/>
    <s v="USA"/>
    <s v="Credit Card"/>
    <x v="0"/>
    <x v="0"/>
    <n v="14"/>
    <n v="84"/>
    <x v="102"/>
    <n v="112.896"/>
  </r>
  <r>
    <n v="1119"/>
    <x v="51"/>
    <n v="8"/>
    <x v="3"/>
    <s v="123 8th Street"/>
    <x v="2"/>
    <x v="2"/>
    <n v="99999"/>
    <x v="0"/>
    <x v="2"/>
    <x v="2"/>
    <n v="41769"/>
    <s v="Shipping Company B"/>
    <s v="Elizabeth Andersen"/>
    <s v="123 8th Street"/>
    <x v="2"/>
    <s v="OR"/>
    <n v="99999"/>
    <s v="USA"/>
    <s v="Check"/>
    <x v="9"/>
    <x v="5"/>
    <n v="40"/>
    <n v="73"/>
    <x v="103"/>
    <n v="283.24"/>
  </r>
  <r>
    <n v="1120"/>
    <x v="51"/>
    <n v="8"/>
    <x v="3"/>
    <s v="123 8th Street"/>
    <x v="2"/>
    <x v="2"/>
    <n v="99999"/>
    <x v="0"/>
    <x v="2"/>
    <x v="2"/>
    <n v="41769"/>
    <s v="Shipping Company B"/>
    <s v="Elizabeth Andersen"/>
    <s v="123 8th Street"/>
    <x v="2"/>
    <s v="OR"/>
    <n v="99999"/>
    <s v="USA"/>
    <s v="Check"/>
    <x v="6"/>
    <x v="2"/>
    <n v="9.1999999999999993"/>
    <n v="51"/>
    <x v="104"/>
    <n v="44.573999999999998"/>
  </r>
  <r>
    <n v="1121"/>
    <x v="57"/>
    <n v="25"/>
    <x v="13"/>
    <s v="789 25th Street"/>
    <x v="7"/>
    <x v="7"/>
    <n v="99999"/>
    <x v="0"/>
    <x v="6"/>
    <x v="1"/>
    <n v="41786"/>
    <s v="Shipping Company A"/>
    <s v="John Rodman"/>
    <s v="789 25th Street"/>
    <x v="7"/>
    <s v="IL"/>
    <n v="99999"/>
    <s v="USA"/>
    <s v="Cash"/>
    <x v="21"/>
    <x v="2"/>
    <n v="10"/>
    <n v="66"/>
    <x v="91"/>
    <n v="68.64"/>
  </r>
  <r>
    <n v="1122"/>
    <x v="58"/>
    <n v="26"/>
    <x v="14"/>
    <s v="789 26th Street"/>
    <x v="9"/>
    <x v="9"/>
    <n v="99999"/>
    <x v="0"/>
    <x v="5"/>
    <x v="3"/>
    <n v="41787"/>
    <s v="Shipping Company C"/>
    <s v="Run Liu"/>
    <s v="789 26th Street"/>
    <x v="9"/>
    <s v="FL"/>
    <n v="99999"/>
    <s v="USA"/>
    <s v="Credit Card"/>
    <x v="22"/>
    <x v="13"/>
    <n v="21.35"/>
    <n v="36"/>
    <x v="105"/>
    <n v="74.554200000000009"/>
  </r>
  <r>
    <n v="1123"/>
    <x v="58"/>
    <n v="26"/>
    <x v="14"/>
    <s v="789 26th Street"/>
    <x v="9"/>
    <x v="9"/>
    <n v="99999"/>
    <x v="0"/>
    <x v="5"/>
    <x v="3"/>
    <d v="2014-05-28T00:00:00"/>
    <s v="Shipping Company C"/>
    <s v="Run Liu"/>
    <s v="789 26th Street"/>
    <x v="9"/>
    <s v="FL"/>
    <n v="99999"/>
    <s v="USA"/>
    <s v="Credit Card"/>
    <x v="8"/>
    <x v="4"/>
    <n v="9.65"/>
    <n v="87"/>
    <x v="106"/>
    <n v="87.313200000000009"/>
  </r>
  <r>
    <n v="1124"/>
    <x v="58"/>
    <n v="26"/>
    <x v="14"/>
    <s v="789 26th Street"/>
    <x v="9"/>
    <x v="9"/>
    <n v="99999"/>
    <x v="0"/>
    <x v="5"/>
    <x v="3"/>
    <d v="2014-05-28T00:00:00"/>
    <s v="Shipping Company C"/>
    <s v="Run Liu"/>
    <s v="789 26th Street"/>
    <x v="9"/>
    <s v="FL"/>
    <n v="99999"/>
    <s v="USA"/>
    <s v="Credit Card"/>
    <x v="13"/>
    <x v="8"/>
    <n v="18.399999999999999"/>
    <n v="64"/>
    <x v="107"/>
    <n v="115.40479999999999"/>
  </r>
  <r>
    <n v="1125"/>
    <x v="47"/>
    <n v="29"/>
    <x v="4"/>
    <s v="789 29th Street"/>
    <x v="3"/>
    <x v="3"/>
    <n v="99999"/>
    <x v="0"/>
    <x v="3"/>
    <x v="0"/>
    <d v="2014-05-31T00:00:00"/>
    <s v="Shipping Company B"/>
    <s v="Soo Jung Lee"/>
    <s v="789 29th Street"/>
    <x v="3"/>
    <s v="CO"/>
    <n v="99999"/>
    <s v="USA"/>
    <s v="Check"/>
    <x v="0"/>
    <x v="0"/>
    <n v="14"/>
    <n v="21"/>
    <x v="108"/>
    <n v="30.870000000000005"/>
  </r>
  <r>
    <n v="1126"/>
    <x v="49"/>
    <n v="6"/>
    <x v="6"/>
    <s v="123 6th Street"/>
    <x v="5"/>
    <x v="5"/>
    <n v="99999"/>
    <x v="0"/>
    <x v="4"/>
    <x v="2"/>
    <d v="2014-05-08T00:00:00"/>
    <s v="Shipping Company C"/>
    <s v="Francisco Pérez-Olaeta"/>
    <s v="123 6th Street"/>
    <x v="5"/>
    <s v="WI"/>
    <n v="99999"/>
    <s v="USA"/>
    <s v="Check"/>
    <x v="7"/>
    <x v="3"/>
    <n v="12.75"/>
    <n v="19"/>
    <x v="109"/>
    <n v="24.46725"/>
  </r>
  <r>
    <n v="1128"/>
    <x v="59"/>
    <n v="4"/>
    <x v="1"/>
    <s v="123 4th Street"/>
    <x v="1"/>
    <x v="1"/>
    <n v="99999"/>
    <x v="0"/>
    <x v="1"/>
    <x v="1"/>
    <d v="2014-05-06T00:00:00"/>
    <s v="Shipping Company A"/>
    <s v="Christina Lee"/>
    <s v="123 4th Street"/>
    <x v="1"/>
    <s v="NY"/>
    <n v="99999"/>
    <s v="USA"/>
    <s v="Credit Card"/>
    <x v="23"/>
    <x v="6"/>
    <n v="81"/>
    <n v="23"/>
    <x v="110"/>
    <n v="195.61500000000001"/>
  </r>
  <r>
    <n v="1129"/>
    <x v="59"/>
    <n v="4"/>
    <x v="1"/>
    <s v="123 4th Street"/>
    <x v="1"/>
    <x v="1"/>
    <n v="99999"/>
    <x v="0"/>
    <x v="1"/>
    <x v="1"/>
    <d v="2014-05-06T00:00:00"/>
    <s v="Shipping Company A"/>
    <s v="Christina Lee"/>
    <s v="123 4th Street"/>
    <x v="1"/>
    <s v="NY"/>
    <n v="99999"/>
    <s v="USA"/>
    <s v="Credit Card"/>
    <x v="24"/>
    <x v="14"/>
    <n v="7"/>
    <n v="72"/>
    <x v="111"/>
    <n v="51.912000000000006"/>
  </r>
  <r>
    <n v="1131"/>
    <x v="51"/>
    <n v="8"/>
    <x v="3"/>
    <s v="123 8th Street"/>
    <x v="2"/>
    <x v="2"/>
    <n v="99999"/>
    <x v="0"/>
    <x v="2"/>
    <x v="2"/>
    <d v="2014-05-10T00:00:00"/>
    <s v="Shipping Company C"/>
    <s v="Elizabeth Andersen"/>
    <s v="123 8th Street"/>
    <x v="2"/>
    <s v="OR"/>
    <n v="99999"/>
    <s v="USA"/>
    <s v="Credit Card"/>
    <x v="15"/>
    <x v="10"/>
    <n v="34.799999999999997"/>
    <n v="22"/>
    <x v="112"/>
    <n v="75.02879999999999"/>
  </r>
  <r>
    <n v="1134"/>
    <x v="48"/>
    <n v="3"/>
    <x v="5"/>
    <s v="123 3rd Street"/>
    <x v="4"/>
    <x v="4"/>
    <n v="99999"/>
    <x v="0"/>
    <x v="0"/>
    <x v="0"/>
    <d v="2014-05-05T00:00:00"/>
    <s v="Shipping Company B"/>
    <s v="Thomas Axerr"/>
    <s v="123 3rd Street"/>
    <x v="4"/>
    <s v="CA"/>
    <n v="99999"/>
    <s v="USA"/>
    <s v="Cash"/>
    <x v="16"/>
    <x v="7"/>
    <n v="10"/>
    <n v="82"/>
    <x v="113"/>
    <n v="85.28"/>
  </r>
  <r>
    <n v="1135"/>
    <x v="48"/>
    <n v="3"/>
    <x v="5"/>
    <s v="123 3rd Street"/>
    <x v="4"/>
    <x v="4"/>
    <n v="99999"/>
    <x v="0"/>
    <x v="0"/>
    <x v="0"/>
    <d v="2014-05-05T00:00:00"/>
    <s v="Shipping Company B"/>
    <s v="Thomas Axerr"/>
    <s v="123 3rd Street"/>
    <x v="4"/>
    <s v="CA"/>
    <n v="99999"/>
    <s v="USA"/>
    <s v="Cash"/>
    <x v="9"/>
    <x v="5"/>
    <n v="40"/>
    <n v="98"/>
    <x v="114"/>
    <n v="411.6"/>
  </r>
  <r>
    <n v="1138"/>
    <x v="60"/>
    <n v="7"/>
    <x v="9"/>
    <s v="123 7th Street"/>
    <x v="8"/>
    <x v="8"/>
    <n v="99999"/>
    <x v="0"/>
    <x v="2"/>
    <x v="2"/>
    <m/>
    <m/>
    <s v="Ming-Yang Xie"/>
    <s v="123 7th Street"/>
    <x v="8"/>
    <s v="ID"/>
    <n v="99999"/>
    <s v="USA"/>
    <m/>
    <x v="5"/>
    <x v="0"/>
    <n v="46"/>
    <n v="71"/>
    <x v="115"/>
    <n v="310.27"/>
  </r>
  <r>
    <n v="1139"/>
    <x v="61"/>
    <n v="10"/>
    <x v="8"/>
    <s v="123 10th Street"/>
    <x v="7"/>
    <x v="7"/>
    <n v="99999"/>
    <x v="0"/>
    <x v="6"/>
    <x v="1"/>
    <d v="2014-06-12T00:00:00"/>
    <s v="Shipping Company A"/>
    <s v="Roland Wacker"/>
    <s v="123 10th Street"/>
    <x v="7"/>
    <s v="IL"/>
    <n v="99999"/>
    <s v="USA"/>
    <m/>
    <x v="11"/>
    <x v="6"/>
    <n v="25"/>
    <n v="40"/>
    <x v="116"/>
    <n v="105"/>
  </r>
  <r>
    <n v="1140"/>
    <x v="61"/>
    <n v="10"/>
    <x v="8"/>
    <s v="123 10th Street"/>
    <x v="7"/>
    <x v="7"/>
    <n v="99999"/>
    <x v="0"/>
    <x v="6"/>
    <x v="1"/>
    <d v="2014-06-12T00:00:00"/>
    <s v="Shipping Company A"/>
    <s v="Roland Wacker"/>
    <s v="123 10th Street"/>
    <x v="7"/>
    <s v="IL"/>
    <n v="99999"/>
    <s v="USA"/>
    <m/>
    <x v="12"/>
    <x v="7"/>
    <n v="22"/>
    <n v="80"/>
    <x v="117"/>
    <n v="172.48"/>
  </r>
  <r>
    <n v="1141"/>
    <x v="61"/>
    <n v="10"/>
    <x v="8"/>
    <s v="123 10th Street"/>
    <x v="7"/>
    <x v="7"/>
    <n v="99999"/>
    <x v="0"/>
    <x v="6"/>
    <x v="1"/>
    <d v="2014-06-12T00:00:00"/>
    <s v="Shipping Company A"/>
    <s v="Roland Wacker"/>
    <s v="123 10th Street"/>
    <x v="7"/>
    <s v="IL"/>
    <n v="99999"/>
    <s v="USA"/>
    <m/>
    <x v="6"/>
    <x v="2"/>
    <n v="9.1999999999999993"/>
    <n v="38"/>
    <x v="7"/>
    <n v="33.211999999999996"/>
  </r>
  <r>
    <n v="1142"/>
    <x v="62"/>
    <n v="11"/>
    <x v="10"/>
    <s v="123 11th Street"/>
    <x v="9"/>
    <x v="9"/>
    <n v="99999"/>
    <x v="0"/>
    <x v="5"/>
    <x v="3"/>
    <m/>
    <s v="Shipping Company C"/>
    <s v="Peter Krschne"/>
    <s v="123 11th Street"/>
    <x v="9"/>
    <s v="FL"/>
    <n v="99999"/>
    <s v="USA"/>
    <m/>
    <x v="1"/>
    <x v="1"/>
    <n v="3.5"/>
    <n v="28"/>
    <x v="118"/>
    <n v="10.290000000000001"/>
  </r>
  <r>
    <n v="1143"/>
    <x v="62"/>
    <n v="11"/>
    <x v="10"/>
    <s v="123 11th Street"/>
    <x v="9"/>
    <x v="9"/>
    <n v="99999"/>
    <x v="0"/>
    <x v="5"/>
    <x v="3"/>
    <m/>
    <s v="Shipping Company C"/>
    <s v="Peter Krschne"/>
    <s v="123 11th Street"/>
    <x v="9"/>
    <s v="FL"/>
    <n v="99999"/>
    <s v="USA"/>
    <m/>
    <x v="10"/>
    <x v="0"/>
    <n v="2.99"/>
    <n v="60"/>
    <x v="119"/>
    <n v="17.581200000000003"/>
  </r>
  <r>
    <n v="1144"/>
    <x v="63"/>
    <n v="1"/>
    <x v="11"/>
    <s v="123 1st Street"/>
    <x v="10"/>
    <x v="10"/>
    <n v="99999"/>
    <x v="0"/>
    <x v="2"/>
    <x v="2"/>
    <m/>
    <m/>
    <s v="Anna Bedecs"/>
    <s v="123 1st Street"/>
    <x v="10"/>
    <s v="WA"/>
    <n v="99999"/>
    <s v="USA"/>
    <m/>
    <x v="4"/>
    <x v="0"/>
    <n v="18"/>
    <n v="33"/>
    <x v="120"/>
    <n v="58.212000000000003"/>
  </r>
  <r>
    <n v="1145"/>
    <x v="63"/>
    <n v="1"/>
    <x v="11"/>
    <s v="123 1st Street"/>
    <x v="10"/>
    <x v="10"/>
    <n v="99999"/>
    <x v="0"/>
    <x v="2"/>
    <x v="2"/>
    <m/>
    <m/>
    <s v="Anna Bedecs"/>
    <s v="123 1st Street"/>
    <x v="10"/>
    <s v="WA"/>
    <n v="99999"/>
    <s v="USA"/>
    <m/>
    <x v="5"/>
    <x v="0"/>
    <n v="46"/>
    <n v="22"/>
    <x v="121"/>
    <n v="101.2"/>
  </r>
  <r>
    <n v="1146"/>
    <x v="63"/>
    <n v="1"/>
    <x v="11"/>
    <s v="123 1st Street"/>
    <x v="10"/>
    <x v="10"/>
    <n v="99999"/>
    <x v="0"/>
    <x v="2"/>
    <x v="2"/>
    <m/>
    <m/>
    <s v="Anna Bedecs"/>
    <s v="123 1st Street"/>
    <x v="10"/>
    <s v="WA"/>
    <n v="99999"/>
    <s v="USA"/>
    <m/>
    <x v="10"/>
    <x v="0"/>
    <n v="2.99"/>
    <n v="51"/>
    <x v="122"/>
    <n v="14.944020000000002"/>
  </r>
  <r>
    <n v="1147"/>
    <x v="64"/>
    <n v="28"/>
    <x v="7"/>
    <s v="789 28th Street"/>
    <x v="6"/>
    <x v="6"/>
    <n v="99999"/>
    <x v="0"/>
    <x v="5"/>
    <x v="3"/>
    <d v="2014-06-30T00:00:00"/>
    <s v="Shipping Company C"/>
    <s v="Amritansh Raghav"/>
    <s v="789 28th Street"/>
    <x v="6"/>
    <s v="TN"/>
    <n v="99999"/>
    <s v="USA"/>
    <s v="Credit Card"/>
    <x v="8"/>
    <x v="4"/>
    <n v="9.65"/>
    <n v="60"/>
    <x v="123"/>
    <n v="57.321000000000005"/>
  </r>
  <r>
    <n v="1148"/>
    <x v="64"/>
    <n v="28"/>
    <x v="7"/>
    <s v="789 28th Street"/>
    <x v="6"/>
    <x v="6"/>
    <n v="99999"/>
    <x v="0"/>
    <x v="5"/>
    <x v="3"/>
    <d v="2014-06-30T00:00:00"/>
    <s v="Shipping Company C"/>
    <s v="Amritansh Raghav"/>
    <s v="789 28th Street"/>
    <x v="6"/>
    <s v="TN"/>
    <n v="99999"/>
    <s v="USA"/>
    <s v="Credit Card"/>
    <x v="13"/>
    <x v="8"/>
    <n v="18.399999999999999"/>
    <n v="98"/>
    <x v="124"/>
    <n v="183.9264"/>
  </r>
  <r>
    <n v="1149"/>
    <x v="65"/>
    <n v="9"/>
    <x v="12"/>
    <s v="123 9th Street"/>
    <x v="11"/>
    <x v="11"/>
    <n v="99999"/>
    <x v="0"/>
    <x v="7"/>
    <x v="0"/>
    <d v="2014-06-11T00:00:00"/>
    <s v="Shipping Company A"/>
    <s v="Sven Mortensen"/>
    <s v="123 9th Street"/>
    <x v="11"/>
    <s v="UT"/>
    <n v="99999"/>
    <s v="USA"/>
    <s v="Check"/>
    <x v="14"/>
    <x v="9"/>
    <n v="19.5"/>
    <n v="27"/>
    <x v="125"/>
    <n v="51.070500000000003"/>
  </r>
  <r>
    <n v="1150"/>
    <x v="65"/>
    <n v="9"/>
    <x v="12"/>
    <s v="123 9th Street"/>
    <x v="11"/>
    <x v="11"/>
    <n v="99999"/>
    <x v="0"/>
    <x v="7"/>
    <x v="0"/>
    <d v="2014-06-11T00:00:00"/>
    <s v="Shipping Company A"/>
    <s v="Sven Mortensen"/>
    <s v="123 9th Street"/>
    <x v="11"/>
    <s v="UT"/>
    <n v="99999"/>
    <s v="USA"/>
    <s v="Check"/>
    <x v="15"/>
    <x v="10"/>
    <n v="34.799999999999997"/>
    <n v="88"/>
    <x v="126"/>
    <n v="303.17759999999993"/>
  </r>
  <r>
    <n v="1151"/>
    <x v="66"/>
    <n v="6"/>
    <x v="6"/>
    <s v="123 6th Street"/>
    <x v="5"/>
    <x v="5"/>
    <n v="99999"/>
    <x v="0"/>
    <x v="4"/>
    <x v="2"/>
    <d v="2014-06-08T00:00:00"/>
    <s v="Shipping Company B"/>
    <s v="Francisco Pérez-Olaeta"/>
    <s v="123 6th Street"/>
    <x v="5"/>
    <s v="WI"/>
    <n v="99999"/>
    <s v="USA"/>
    <s v="Credit Card"/>
    <x v="0"/>
    <x v="0"/>
    <n v="14"/>
    <n v="65"/>
    <x v="127"/>
    <n v="95.55"/>
  </r>
  <r>
    <n v="1152"/>
    <x v="67"/>
    <n v="8"/>
    <x v="3"/>
    <s v="123 8th Street"/>
    <x v="2"/>
    <x v="2"/>
    <n v="99999"/>
    <x v="0"/>
    <x v="2"/>
    <x v="2"/>
    <d v="2014-06-10T00:00:00"/>
    <s v="Shipping Company B"/>
    <s v="Elizabeth Andersen"/>
    <s v="123 8th Street"/>
    <x v="2"/>
    <s v="OR"/>
    <n v="99999"/>
    <s v="USA"/>
    <s v="Check"/>
    <x v="9"/>
    <x v="5"/>
    <n v="40"/>
    <n v="38"/>
    <x v="128"/>
    <n v="148.96"/>
  </r>
  <r>
    <n v="1153"/>
    <x v="67"/>
    <n v="8"/>
    <x v="3"/>
    <s v="123 8th Street"/>
    <x v="2"/>
    <x v="2"/>
    <n v="99999"/>
    <x v="0"/>
    <x v="2"/>
    <x v="2"/>
    <n v="41800"/>
    <s v="Shipping Company B"/>
    <s v="Elizabeth Andersen"/>
    <s v="123 8th Street"/>
    <x v="2"/>
    <s v="OR"/>
    <n v="99999"/>
    <s v="USA"/>
    <s v="Check"/>
    <x v="6"/>
    <x v="2"/>
    <n v="9.1999999999999993"/>
    <n v="80"/>
    <x v="129"/>
    <n v="70.656000000000006"/>
  </r>
  <r>
    <n v="1154"/>
    <x v="68"/>
    <n v="25"/>
    <x v="13"/>
    <s v="789 25th Street"/>
    <x v="7"/>
    <x v="7"/>
    <n v="99999"/>
    <x v="0"/>
    <x v="6"/>
    <x v="1"/>
    <d v="2014-06-27T00:00:00"/>
    <s v="Shipping Company A"/>
    <s v="John Rodman"/>
    <s v="789 25th Street"/>
    <x v="7"/>
    <s v="IL"/>
    <n v="99999"/>
    <s v="USA"/>
    <s v="Cash"/>
    <x v="21"/>
    <x v="2"/>
    <n v="10"/>
    <n v="49"/>
    <x v="130"/>
    <n v="47.04"/>
  </r>
  <r>
    <n v="1155"/>
    <x v="69"/>
    <n v="26"/>
    <x v="14"/>
    <s v="789 26th Street"/>
    <x v="9"/>
    <x v="9"/>
    <n v="99999"/>
    <x v="0"/>
    <x v="5"/>
    <x v="3"/>
    <d v="2014-06-28T00:00:00"/>
    <s v="Shipping Company C"/>
    <s v="Run Liu"/>
    <s v="789 26th Street"/>
    <x v="9"/>
    <s v="FL"/>
    <n v="99999"/>
    <s v="USA"/>
    <s v="Credit Card"/>
    <x v="22"/>
    <x v="13"/>
    <n v="21.35"/>
    <n v="90"/>
    <x v="131"/>
    <n v="186.38550000000004"/>
  </r>
  <r>
    <n v="1156"/>
    <x v="69"/>
    <n v="26"/>
    <x v="14"/>
    <s v="789 26th Street"/>
    <x v="9"/>
    <x v="9"/>
    <n v="99999"/>
    <x v="0"/>
    <x v="5"/>
    <x v="3"/>
    <d v="2014-06-28T00:00:00"/>
    <s v="Shipping Company C"/>
    <s v="Run Liu"/>
    <s v="789 26th Street"/>
    <x v="9"/>
    <s v="FL"/>
    <n v="99999"/>
    <s v="USA"/>
    <s v="Credit Card"/>
    <x v="8"/>
    <x v="4"/>
    <n v="9.65"/>
    <n v="60"/>
    <x v="123"/>
    <n v="59.637000000000008"/>
  </r>
  <r>
    <n v="1157"/>
    <x v="69"/>
    <n v="26"/>
    <x v="14"/>
    <s v="789 26th Street"/>
    <x v="9"/>
    <x v="9"/>
    <n v="99999"/>
    <x v="0"/>
    <x v="5"/>
    <x v="3"/>
    <n v="41818"/>
    <s v="Shipping Company C"/>
    <s v="Run Liu"/>
    <s v="789 26th Street"/>
    <x v="9"/>
    <s v="FL"/>
    <n v="99999"/>
    <s v="USA"/>
    <s v="Credit Card"/>
    <x v="13"/>
    <x v="8"/>
    <n v="18.399999999999999"/>
    <n v="39"/>
    <x v="132"/>
    <n v="71.759999999999991"/>
  </r>
  <r>
    <n v="1158"/>
    <x v="70"/>
    <n v="29"/>
    <x v="4"/>
    <s v="789 29th Street"/>
    <x v="3"/>
    <x v="3"/>
    <n v="99999"/>
    <x v="0"/>
    <x v="3"/>
    <x v="0"/>
    <n v="41821"/>
    <s v="Shipping Company B"/>
    <s v="Soo Jung Lee"/>
    <s v="789 29th Street"/>
    <x v="3"/>
    <s v="CO"/>
    <n v="99999"/>
    <s v="USA"/>
    <s v="Check"/>
    <x v="0"/>
    <x v="0"/>
    <n v="14"/>
    <n v="79"/>
    <x v="133"/>
    <n v="113.91800000000001"/>
  </r>
  <r>
    <n v="1159"/>
    <x v="66"/>
    <n v="6"/>
    <x v="6"/>
    <s v="123 6th Street"/>
    <x v="5"/>
    <x v="5"/>
    <n v="99999"/>
    <x v="0"/>
    <x v="4"/>
    <x v="2"/>
    <n v="41798"/>
    <s v="Shipping Company C"/>
    <s v="Francisco Pérez-Olaeta"/>
    <s v="123 6th Street"/>
    <x v="5"/>
    <s v="WI"/>
    <n v="99999"/>
    <s v="USA"/>
    <s v="Check"/>
    <x v="7"/>
    <x v="3"/>
    <n v="12.75"/>
    <n v="44"/>
    <x v="134"/>
    <n v="57.222000000000001"/>
  </r>
  <r>
    <n v="1161"/>
    <x v="71"/>
    <n v="4"/>
    <x v="1"/>
    <s v="123 4th Street"/>
    <x v="1"/>
    <x v="1"/>
    <n v="99999"/>
    <x v="0"/>
    <x v="1"/>
    <x v="1"/>
    <n v="41796"/>
    <s v="Shipping Company A"/>
    <s v="Christina Lee"/>
    <s v="123 4th Street"/>
    <x v="1"/>
    <s v="NY"/>
    <n v="99999"/>
    <s v="USA"/>
    <s v="Credit Card"/>
    <x v="23"/>
    <x v="6"/>
    <n v="81"/>
    <n v="98"/>
    <x v="135"/>
    <n v="769.98599999999999"/>
  </r>
  <r>
    <n v="1162"/>
    <x v="71"/>
    <n v="4"/>
    <x v="1"/>
    <s v="123 4th Street"/>
    <x v="1"/>
    <x v="1"/>
    <n v="99999"/>
    <x v="0"/>
    <x v="1"/>
    <x v="1"/>
    <n v="41796"/>
    <s v="Shipping Company A"/>
    <s v="Christina Lee"/>
    <s v="123 4th Street"/>
    <x v="1"/>
    <s v="NY"/>
    <n v="99999"/>
    <s v="USA"/>
    <s v="Credit Card"/>
    <x v="24"/>
    <x v="14"/>
    <n v="7"/>
    <n v="61"/>
    <x v="136"/>
    <n v="42.273000000000003"/>
  </r>
  <r>
    <n v="1164"/>
    <x v="67"/>
    <n v="8"/>
    <x v="3"/>
    <s v="123 8th Street"/>
    <x v="2"/>
    <x v="2"/>
    <n v="99999"/>
    <x v="0"/>
    <x v="2"/>
    <x v="2"/>
    <d v="2014-06-10T00:00:00"/>
    <s v="Shipping Company C"/>
    <s v="Elizabeth Andersen"/>
    <s v="123 8th Street"/>
    <x v="2"/>
    <s v="OR"/>
    <n v="99999"/>
    <s v="USA"/>
    <s v="Credit Card"/>
    <x v="15"/>
    <x v="10"/>
    <n v="34.799999999999997"/>
    <n v="30"/>
    <x v="137"/>
    <n v="109.62"/>
  </r>
  <r>
    <n v="1167"/>
    <x v="72"/>
    <n v="3"/>
    <x v="5"/>
    <s v="123 3rd Street"/>
    <x v="4"/>
    <x v="4"/>
    <n v="99999"/>
    <x v="0"/>
    <x v="0"/>
    <x v="0"/>
    <d v="2014-06-05T00:00:00"/>
    <s v="Shipping Company B"/>
    <s v="Thomas Axerr"/>
    <s v="123 3rd Street"/>
    <x v="4"/>
    <s v="CA"/>
    <n v="99999"/>
    <s v="USA"/>
    <s v="Cash"/>
    <x v="16"/>
    <x v="7"/>
    <n v="10"/>
    <n v="24"/>
    <x v="138"/>
    <n v="25.200000000000003"/>
  </r>
  <r>
    <n v="1168"/>
    <x v="72"/>
    <n v="3"/>
    <x v="5"/>
    <s v="123 3rd Street"/>
    <x v="4"/>
    <x v="4"/>
    <n v="99999"/>
    <x v="0"/>
    <x v="0"/>
    <x v="0"/>
    <d v="2014-06-05T00:00:00"/>
    <s v="Shipping Company B"/>
    <s v="Thomas Axerr"/>
    <s v="123 3rd Street"/>
    <x v="4"/>
    <s v="CA"/>
    <n v="99999"/>
    <s v="USA"/>
    <s v="Cash"/>
    <x v="9"/>
    <x v="5"/>
    <n v="40"/>
    <n v="28"/>
    <x v="139"/>
    <n v="109.75999999999999"/>
  </r>
  <r>
    <n v="1172"/>
    <x v="61"/>
    <n v="10"/>
    <x v="8"/>
    <s v="123 10th Street"/>
    <x v="7"/>
    <x v="7"/>
    <n v="99999"/>
    <x v="0"/>
    <x v="6"/>
    <x v="1"/>
    <d v="2014-06-12T00:00:00"/>
    <s v="Shipping Company B"/>
    <s v="Roland Wacker"/>
    <s v="123 10th Street"/>
    <x v="7"/>
    <s v="IL"/>
    <n v="99999"/>
    <s v="USA"/>
    <s v="Credit Card"/>
    <x v="18"/>
    <x v="1"/>
    <n v="10"/>
    <n v="74"/>
    <x v="140"/>
    <n v="71.78"/>
  </r>
  <r>
    <n v="1174"/>
    <x v="61"/>
    <n v="10"/>
    <x v="8"/>
    <s v="123 10th Street"/>
    <x v="7"/>
    <x v="7"/>
    <n v="99999"/>
    <x v="0"/>
    <x v="6"/>
    <x v="1"/>
    <m/>
    <s v="Shipping Company A"/>
    <s v="Roland Wacker"/>
    <s v="123 10th Street"/>
    <x v="7"/>
    <s v="IL"/>
    <n v="99999"/>
    <s v="USA"/>
    <m/>
    <x v="1"/>
    <x v="1"/>
    <n v="3.5"/>
    <n v="90"/>
    <x v="141"/>
    <n v="30.24"/>
  </r>
  <r>
    <n v="1175"/>
    <x v="62"/>
    <n v="11"/>
    <x v="10"/>
    <s v="123 11th Street"/>
    <x v="9"/>
    <x v="9"/>
    <n v="99999"/>
    <x v="0"/>
    <x v="5"/>
    <x v="3"/>
    <m/>
    <s v="Shipping Company C"/>
    <s v="Peter Krschne"/>
    <s v="123 11th Street"/>
    <x v="9"/>
    <s v="FL"/>
    <n v="99999"/>
    <s v="USA"/>
    <m/>
    <x v="9"/>
    <x v="5"/>
    <n v="40"/>
    <n v="27"/>
    <x v="142"/>
    <n v="111.24000000000001"/>
  </r>
  <r>
    <n v="1176"/>
    <x v="63"/>
    <n v="1"/>
    <x v="11"/>
    <s v="123 1st Street"/>
    <x v="10"/>
    <x v="10"/>
    <n v="99999"/>
    <x v="0"/>
    <x v="2"/>
    <x v="2"/>
    <m/>
    <s v="Shipping Company C"/>
    <s v="Anna Bedecs"/>
    <s v="123 1st Street"/>
    <x v="10"/>
    <s v="WA"/>
    <n v="99999"/>
    <s v="USA"/>
    <m/>
    <x v="13"/>
    <x v="8"/>
    <n v="18.399999999999999"/>
    <n v="71"/>
    <x v="143"/>
    <n v="137.172"/>
  </r>
  <r>
    <n v="1177"/>
    <x v="64"/>
    <n v="28"/>
    <x v="7"/>
    <s v="789 28th Street"/>
    <x v="6"/>
    <x v="6"/>
    <n v="99999"/>
    <x v="0"/>
    <x v="5"/>
    <x v="3"/>
    <d v="2014-06-30T00:00:00"/>
    <s v="Shipping Company C"/>
    <s v="Amritansh Raghav"/>
    <s v="789 28th Street"/>
    <x v="6"/>
    <s v="TN"/>
    <n v="99999"/>
    <s v="USA"/>
    <s v="Credit Card"/>
    <x v="5"/>
    <x v="0"/>
    <n v="46"/>
    <n v="74"/>
    <x v="144"/>
    <n v="340.40000000000003"/>
  </r>
  <r>
    <n v="1178"/>
    <x v="65"/>
    <n v="9"/>
    <x v="12"/>
    <s v="123 9th Street"/>
    <x v="11"/>
    <x v="11"/>
    <n v="99999"/>
    <x v="0"/>
    <x v="7"/>
    <x v="0"/>
    <d v="2014-06-11T00:00:00"/>
    <s v="Shipping Company A"/>
    <s v="Sven Mortensen"/>
    <s v="123 9th Street"/>
    <x v="11"/>
    <s v="UT"/>
    <n v="99999"/>
    <s v="USA"/>
    <s v="Check"/>
    <x v="8"/>
    <x v="4"/>
    <n v="9.65"/>
    <n v="76"/>
    <x v="145"/>
    <n v="72.6066"/>
  </r>
  <r>
    <n v="1179"/>
    <x v="66"/>
    <n v="6"/>
    <x v="6"/>
    <s v="123 6th Street"/>
    <x v="5"/>
    <x v="5"/>
    <n v="99999"/>
    <x v="0"/>
    <x v="4"/>
    <x v="2"/>
    <d v="2014-06-08T00:00:00"/>
    <s v="Shipping Company B"/>
    <s v="Francisco Pérez-Olaeta"/>
    <s v="123 6th Street"/>
    <x v="5"/>
    <s v="WI"/>
    <n v="99999"/>
    <s v="USA"/>
    <s v="Credit Card"/>
    <x v="7"/>
    <x v="3"/>
    <n v="12.75"/>
    <n v="96"/>
    <x v="146"/>
    <n v="123.62400000000001"/>
  </r>
  <r>
    <n v="1180"/>
    <x v="67"/>
    <n v="8"/>
    <x v="3"/>
    <s v="123 8th Street"/>
    <x v="2"/>
    <x v="2"/>
    <n v="99999"/>
    <x v="0"/>
    <x v="2"/>
    <x v="2"/>
    <d v="2014-06-10T00:00:00"/>
    <s v="Shipping Company B"/>
    <s v="Elizabeth Andersen"/>
    <s v="123 8th Street"/>
    <x v="2"/>
    <s v="OR"/>
    <n v="99999"/>
    <s v="USA"/>
    <s v="Check"/>
    <x v="7"/>
    <x v="3"/>
    <n v="12.75"/>
    <n v="92"/>
    <x v="147"/>
    <n v="116.12700000000001"/>
  </r>
  <r>
    <n v="1181"/>
    <x v="68"/>
    <n v="25"/>
    <x v="13"/>
    <s v="789 25th Street"/>
    <x v="7"/>
    <x v="7"/>
    <n v="99999"/>
    <x v="0"/>
    <x v="6"/>
    <x v="1"/>
    <d v="2014-06-27T00:00:00"/>
    <s v="Shipping Company A"/>
    <s v="John Rodman"/>
    <s v="789 25th Street"/>
    <x v="7"/>
    <s v="IL"/>
    <n v="99999"/>
    <s v="USA"/>
    <s v="Cash"/>
    <x v="12"/>
    <x v="7"/>
    <n v="22"/>
    <n v="93"/>
    <x v="148"/>
    <n v="200.50800000000001"/>
  </r>
  <r>
    <n v="1182"/>
    <x v="69"/>
    <n v="26"/>
    <x v="14"/>
    <s v="789 26th Street"/>
    <x v="9"/>
    <x v="9"/>
    <n v="99999"/>
    <x v="0"/>
    <x v="5"/>
    <x v="3"/>
    <d v="2014-06-28T00:00:00"/>
    <s v="Shipping Company C"/>
    <s v="Run Liu"/>
    <s v="789 26th Street"/>
    <x v="9"/>
    <s v="FL"/>
    <n v="99999"/>
    <s v="USA"/>
    <s v="Credit Card"/>
    <x v="11"/>
    <x v="6"/>
    <n v="25"/>
    <n v="18"/>
    <x v="149"/>
    <n v="42.75"/>
  </r>
  <r>
    <n v="1183"/>
    <x v="70"/>
    <n v="29"/>
    <x v="4"/>
    <s v="789 29th Street"/>
    <x v="3"/>
    <x v="3"/>
    <n v="99999"/>
    <x v="0"/>
    <x v="3"/>
    <x v="0"/>
    <d v="2014-07-01T00:00:00"/>
    <s v="Shipping Company B"/>
    <s v="Soo Jung Lee"/>
    <s v="789 29th Street"/>
    <x v="3"/>
    <s v="CO"/>
    <n v="99999"/>
    <s v="USA"/>
    <s v="Check"/>
    <x v="19"/>
    <x v="12"/>
    <n v="39"/>
    <n v="98"/>
    <x v="150"/>
    <n v="397.48800000000006"/>
  </r>
  <r>
    <n v="1184"/>
    <x v="66"/>
    <n v="6"/>
    <x v="6"/>
    <s v="123 6th Street"/>
    <x v="5"/>
    <x v="5"/>
    <n v="99999"/>
    <x v="0"/>
    <x v="4"/>
    <x v="2"/>
    <d v="2014-06-08T00:00:00"/>
    <s v="Shipping Company C"/>
    <s v="Francisco Pérez-Olaeta"/>
    <s v="123 6th Street"/>
    <x v="5"/>
    <s v="WI"/>
    <n v="99999"/>
    <s v="USA"/>
    <s v="Check"/>
    <x v="2"/>
    <x v="1"/>
    <n v="30"/>
    <n v="46"/>
    <x v="65"/>
    <n v="135.24"/>
  </r>
  <r>
    <n v="1185"/>
    <x v="66"/>
    <n v="6"/>
    <x v="6"/>
    <s v="123 6th Street"/>
    <x v="5"/>
    <x v="5"/>
    <n v="99999"/>
    <x v="0"/>
    <x v="4"/>
    <x v="2"/>
    <d v="2014-06-08T00:00:00"/>
    <s v="Shipping Company C"/>
    <s v="Francisco Pérez-Olaeta"/>
    <s v="123 6th Street"/>
    <x v="5"/>
    <s v="WI"/>
    <n v="99999"/>
    <s v="USA"/>
    <s v="Check"/>
    <x v="3"/>
    <x v="1"/>
    <n v="53"/>
    <n v="14"/>
    <x v="48"/>
    <n v="74.2"/>
  </r>
  <r>
    <n v="1186"/>
    <x v="71"/>
    <n v="4"/>
    <x v="1"/>
    <s v="123 4th Street"/>
    <x v="1"/>
    <x v="1"/>
    <n v="99999"/>
    <x v="0"/>
    <x v="1"/>
    <x v="1"/>
    <m/>
    <m/>
    <s v="Christina Lee"/>
    <s v="123 4th Street"/>
    <x v="1"/>
    <s v="NY"/>
    <n v="99999"/>
    <s v="USA"/>
    <m/>
    <x v="20"/>
    <x v="9"/>
    <n v="38"/>
    <n v="85"/>
    <x v="151"/>
    <n v="319.77"/>
  </r>
  <r>
    <n v="1187"/>
    <x v="72"/>
    <n v="3"/>
    <x v="5"/>
    <s v="123 3rd Street"/>
    <x v="4"/>
    <x v="4"/>
    <n v="99999"/>
    <x v="0"/>
    <x v="0"/>
    <x v="0"/>
    <m/>
    <m/>
    <s v="Thomas Axerr"/>
    <s v="123 3rd Street"/>
    <x v="4"/>
    <s v="CA"/>
    <n v="99999"/>
    <s v="USA"/>
    <m/>
    <x v="10"/>
    <x v="0"/>
    <n v="2.99"/>
    <n v="88"/>
    <x v="76"/>
    <n v="25.522639999999999"/>
  </r>
  <r>
    <n v="1188"/>
    <x v="73"/>
    <n v="1"/>
    <x v="11"/>
    <s v="123 1st Street"/>
    <x v="10"/>
    <x v="10"/>
    <n v="99999"/>
    <x v="0"/>
    <x v="2"/>
    <x v="2"/>
    <m/>
    <m/>
    <s v="Anna Bedecs"/>
    <s v="123 1st Street"/>
    <x v="10"/>
    <s v="WA"/>
    <n v="99999"/>
    <s v="USA"/>
    <m/>
    <x v="10"/>
    <x v="0"/>
    <n v="2.99"/>
    <n v="81"/>
    <x v="152"/>
    <n v="23.976810000000004"/>
  </r>
  <r>
    <n v="1189"/>
    <x v="74"/>
    <n v="28"/>
    <x v="7"/>
    <s v="789 28th Street"/>
    <x v="6"/>
    <x v="6"/>
    <n v="99999"/>
    <x v="0"/>
    <x v="5"/>
    <x v="3"/>
    <d v="2014-07-30T00:00:00"/>
    <s v="Shipping Company C"/>
    <s v="Amritansh Raghav"/>
    <s v="789 28th Street"/>
    <x v="6"/>
    <s v="TN"/>
    <n v="99999"/>
    <s v="USA"/>
    <s v="Credit Card"/>
    <x v="8"/>
    <x v="4"/>
    <n v="9.65"/>
    <n v="33"/>
    <x v="153"/>
    <n v="30.252749999999999"/>
  </r>
  <r>
    <n v="1190"/>
    <x v="74"/>
    <n v="28"/>
    <x v="7"/>
    <s v="789 28th Street"/>
    <x v="6"/>
    <x v="6"/>
    <n v="99999"/>
    <x v="0"/>
    <x v="5"/>
    <x v="3"/>
    <d v="2014-07-30T00:00:00"/>
    <s v="Shipping Company C"/>
    <s v="Amritansh Raghav"/>
    <s v="789 28th Street"/>
    <x v="6"/>
    <s v="TN"/>
    <n v="99999"/>
    <s v="USA"/>
    <s v="Credit Card"/>
    <x v="13"/>
    <x v="8"/>
    <n v="18.399999999999999"/>
    <n v="47"/>
    <x v="154"/>
    <n v="90.804000000000002"/>
  </r>
  <r>
    <n v="1191"/>
    <x v="75"/>
    <n v="9"/>
    <x v="12"/>
    <s v="123 9th Street"/>
    <x v="11"/>
    <x v="11"/>
    <n v="99999"/>
    <x v="0"/>
    <x v="7"/>
    <x v="0"/>
    <d v="2014-07-11T00:00:00"/>
    <s v="Shipping Company A"/>
    <s v="Sven Mortensen"/>
    <s v="123 9th Street"/>
    <x v="11"/>
    <s v="UT"/>
    <n v="99999"/>
    <s v="USA"/>
    <s v="Check"/>
    <x v="14"/>
    <x v="9"/>
    <n v="19.5"/>
    <n v="61"/>
    <x v="155"/>
    <n v="123.70800000000001"/>
  </r>
  <r>
    <n v="1192"/>
    <x v="75"/>
    <n v="9"/>
    <x v="12"/>
    <s v="123 9th Street"/>
    <x v="11"/>
    <x v="11"/>
    <n v="99999"/>
    <x v="0"/>
    <x v="7"/>
    <x v="0"/>
    <d v="2014-07-11T00:00:00"/>
    <s v="Shipping Company A"/>
    <s v="Sven Mortensen"/>
    <s v="123 9th Street"/>
    <x v="11"/>
    <s v="UT"/>
    <n v="99999"/>
    <s v="USA"/>
    <s v="Check"/>
    <x v="15"/>
    <x v="10"/>
    <n v="34.799999999999997"/>
    <n v="27"/>
    <x v="156"/>
    <n v="95.839199999999991"/>
  </r>
  <r>
    <n v="1193"/>
    <x v="76"/>
    <n v="6"/>
    <x v="6"/>
    <s v="123 6th Street"/>
    <x v="5"/>
    <x v="5"/>
    <n v="99999"/>
    <x v="0"/>
    <x v="4"/>
    <x v="2"/>
    <d v="2014-07-08T00:00:00"/>
    <s v="Shipping Company B"/>
    <s v="Francisco Pérez-Olaeta"/>
    <s v="123 6th Street"/>
    <x v="5"/>
    <s v="WI"/>
    <n v="99999"/>
    <s v="USA"/>
    <s v="Credit Card"/>
    <x v="0"/>
    <x v="0"/>
    <n v="14"/>
    <n v="84"/>
    <x v="102"/>
    <n v="118.77600000000001"/>
  </r>
  <r>
    <n v="1194"/>
    <x v="77"/>
    <n v="8"/>
    <x v="3"/>
    <s v="123 8th Street"/>
    <x v="2"/>
    <x v="2"/>
    <n v="99999"/>
    <x v="0"/>
    <x v="2"/>
    <x v="2"/>
    <d v="2014-07-10T00:00:00"/>
    <s v="Shipping Company B"/>
    <s v="Elizabeth Andersen"/>
    <s v="123 8th Street"/>
    <x v="2"/>
    <s v="OR"/>
    <n v="99999"/>
    <s v="USA"/>
    <s v="Check"/>
    <x v="9"/>
    <x v="5"/>
    <n v="40"/>
    <n v="91"/>
    <x v="157"/>
    <n v="360.36"/>
  </r>
  <r>
    <n v="1195"/>
    <x v="77"/>
    <n v="8"/>
    <x v="3"/>
    <s v="123 8th Street"/>
    <x v="2"/>
    <x v="2"/>
    <n v="99999"/>
    <x v="0"/>
    <x v="2"/>
    <x v="2"/>
    <d v="2014-07-10T00:00:00"/>
    <s v="Shipping Company B"/>
    <s v="Elizabeth Andersen"/>
    <s v="123 8th Street"/>
    <x v="2"/>
    <s v="OR"/>
    <n v="99999"/>
    <s v="USA"/>
    <s v="Check"/>
    <x v="6"/>
    <x v="2"/>
    <n v="9.1999999999999993"/>
    <n v="36"/>
    <x v="158"/>
    <n v="34.444800000000001"/>
  </r>
  <r>
    <n v="1196"/>
    <x v="78"/>
    <n v="25"/>
    <x v="13"/>
    <s v="789 25th Street"/>
    <x v="7"/>
    <x v="7"/>
    <n v="99999"/>
    <x v="0"/>
    <x v="6"/>
    <x v="1"/>
    <n v="41847"/>
    <s v="Shipping Company A"/>
    <s v="John Rodman"/>
    <s v="789 25th Street"/>
    <x v="7"/>
    <s v="IL"/>
    <n v="99999"/>
    <s v="USA"/>
    <s v="Cash"/>
    <x v="21"/>
    <x v="2"/>
    <n v="10"/>
    <n v="34"/>
    <x v="159"/>
    <n v="34.340000000000003"/>
  </r>
  <r>
    <n v="1197"/>
    <x v="79"/>
    <n v="26"/>
    <x v="14"/>
    <s v="789 26th Street"/>
    <x v="9"/>
    <x v="9"/>
    <n v="99999"/>
    <x v="0"/>
    <x v="5"/>
    <x v="3"/>
    <n v="41848"/>
    <s v="Shipping Company C"/>
    <s v="Run Liu"/>
    <s v="789 26th Street"/>
    <x v="9"/>
    <s v="FL"/>
    <n v="99999"/>
    <s v="USA"/>
    <s v="Credit Card"/>
    <x v="22"/>
    <x v="13"/>
    <n v="21.35"/>
    <n v="81"/>
    <x v="160"/>
    <n v="178.12305000000003"/>
  </r>
  <r>
    <n v="1198"/>
    <x v="79"/>
    <n v="26"/>
    <x v="14"/>
    <s v="789 26th Street"/>
    <x v="9"/>
    <x v="9"/>
    <n v="99999"/>
    <x v="0"/>
    <x v="5"/>
    <x v="3"/>
    <n v="41848"/>
    <s v="Shipping Company C"/>
    <s v="Run Liu"/>
    <s v="789 26th Street"/>
    <x v="9"/>
    <s v="FL"/>
    <n v="99999"/>
    <s v="USA"/>
    <s v="Credit Card"/>
    <x v="8"/>
    <x v="4"/>
    <n v="9.65"/>
    <n v="25"/>
    <x v="161"/>
    <n v="23.401250000000001"/>
  </r>
  <r>
    <n v="1199"/>
    <x v="79"/>
    <n v="26"/>
    <x v="14"/>
    <s v="789 26th Street"/>
    <x v="9"/>
    <x v="9"/>
    <n v="99999"/>
    <x v="0"/>
    <x v="5"/>
    <x v="3"/>
    <n v="41848"/>
    <s v="Shipping Company C"/>
    <s v="Run Liu"/>
    <s v="789 26th Street"/>
    <x v="9"/>
    <s v="FL"/>
    <n v="99999"/>
    <s v="USA"/>
    <s v="Credit Card"/>
    <x v="13"/>
    <x v="8"/>
    <n v="18.399999999999999"/>
    <n v="12"/>
    <x v="162"/>
    <n v="22.08"/>
  </r>
  <r>
    <n v="1200"/>
    <x v="80"/>
    <n v="29"/>
    <x v="4"/>
    <s v="789 29th Street"/>
    <x v="3"/>
    <x v="3"/>
    <n v="99999"/>
    <x v="0"/>
    <x v="3"/>
    <x v="0"/>
    <d v="2014-07-31T00:00:00"/>
    <s v="Shipping Company B"/>
    <s v="Soo Jung Lee"/>
    <s v="789 29th Street"/>
    <x v="3"/>
    <s v="CO"/>
    <n v="99999"/>
    <s v="USA"/>
    <s v="Check"/>
    <x v="0"/>
    <x v="0"/>
    <n v="14"/>
    <n v="23"/>
    <x v="163"/>
    <n v="30.912000000000003"/>
  </r>
  <r>
    <n v="1201"/>
    <x v="76"/>
    <n v="6"/>
    <x v="6"/>
    <s v="123 6th Street"/>
    <x v="5"/>
    <x v="5"/>
    <n v="99999"/>
    <x v="0"/>
    <x v="4"/>
    <x v="2"/>
    <d v="2014-07-08T00:00:00"/>
    <s v="Shipping Company C"/>
    <s v="Francisco Pérez-Olaeta"/>
    <s v="123 6th Street"/>
    <x v="5"/>
    <s v="WI"/>
    <n v="99999"/>
    <s v="USA"/>
    <s v="Check"/>
    <x v="7"/>
    <x v="3"/>
    <n v="12.75"/>
    <n v="76"/>
    <x v="164"/>
    <n v="97.869"/>
  </r>
  <r>
    <n v="1203"/>
    <x v="81"/>
    <n v="4"/>
    <x v="1"/>
    <s v="123 4th Street"/>
    <x v="1"/>
    <x v="1"/>
    <n v="99999"/>
    <x v="0"/>
    <x v="1"/>
    <x v="1"/>
    <d v="2014-07-06T00:00:00"/>
    <s v="Shipping Company A"/>
    <s v="Christina Lee"/>
    <s v="123 4th Street"/>
    <x v="1"/>
    <s v="NY"/>
    <n v="99999"/>
    <s v="USA"/>
    <s v="Credit Card"/>
    <x v="23"/>
    <x v="6"/>
    <n v="81"/>
    <n v="55"/>
    <x v="165"/>
    <n v="445.5"/>
  </r>
  <r>
    <n v="1204"/>
    <x v="81"/>
    <n v="4"/>
    <x v="1"/>
    <s v="123 4th Street"/>
    <x v="1"/>
    <x v="1"/>
    <n v="99999"/>
    <x v="0"/>
    <x v="1"/>
    <x v="1"/>
    <d v="2014-07-06T00:00:00"/>
    <s v="Shipping Company A"/>
    <s v="Christina Lee"/>
    <s v="123 4th Street"/>
    <x v="1"/>
    <s v="NY"/>
    <n v="99999"/>
    <s v="USA"/>
    <s v="Credit Card"/>
    <x v="24"/>
    <x v="14"/>
    <n v="7"/>
    <n v="19"/>
    <x v="166"/>
    <n v="12.901"/>
  </r>
  <r>
    <n v="1206"/>
    <x v="77"/>
    <n v="8"/>
    <x v="3"/>
    <s v="123 8th Street"/>
    <x v="2"/>
    <x v="2"/>
    <n v="99999"/>
    <x v="0"/>
    <x v="2"/>
    <x v="2"/>
    <d v="2014-07-10T00:00:00"/>
    <s v="Shipping Company C"/>
    <s v="Elizabeth Andersen"/>
    <s v="123 8th Street"/>
    <x v="2"/>
    <s v="OR"/>
    <n v="99999"/>
    <s v="USA"/>
    <s v="Credit Card"/>
    <x v="15"/>
    <x v="10"/>
    <n v="34.799999999999997"/>
    <n v="27"/>
    <x v="156"/>
    <n v="89.261999999999986"/>
  </r>
  <r>
    <n v="1209"/>
    <x v="82"/>
    <n v="3"/>
    <x v="5"/>
    <s v="123 3rd Street"/>
    <x v="4"/>
    <x v="4"/>
    <n v="99999"/>
    <x v="0"/>
    <x v="0"/>
    <x v="0"/>
    <d v="2014-07-05T00:00:00"/>
    <s v="Shipping Company B"/>
    <s v="Thomas Axerr"/>
    <s v="123 3rd Street"/>
    <x v="4"/>
    <s v="CA"/>
    <n v="99999"/>
    <s v="USA"/>
    <s v="Cash"/>
    <x v="16"/>
    <x v="7"/>
    <n v="10"/>
    <n v="99"/>
    <x v="82"/>
    <n v="95.039999999999992"/>
  </r>
  <r>
    <n v="1210"/>
    <x v="82"/>
    <n v="3"/>
    <x v="5"/>
    <s v="123 3rd Street"/>
    <x v="4"/>
    <x v="4"/>
    <n v="99999"/>
    <x v="0"/>
    <x v="0"/>
    <x v="0"/>
    <d v="2014-07-05T00:00:00"/>
    <s v="Shipping Company B"/>
    <s v="Thomas Axerr"/>
    <s v="123 3rd Street"/>
    <x v="4"/>
    <s v="CA"/>
    <n v="99999"/>
    <s v="USA"/>
    <s v="Cash"/>
    <x v="9"/>
    <x v="5"/>
    <n v="40"/>
    <n v="10"/>
    <x v="167"/>
    <n v="40"/>
  </r>
  <r>
    <n v="1214"/>
    <x v="83"/>
    <n v="10"/>
    <x v="8"/>
    <s v="123 10th Street"/>
    <x v="7"/>
    <x v="7"/>
    <n v="99999"/>
    <x v="0"/>
    <x v="6"/>
    <x v="1"/>
    <d v="2014-07-12T00:00:00"/>
    <s v="Shipping Company B"/>
    <s v="Roland Wacker"/>
    <s v="123 10th Street"/>
    <x v="7"/>
    <s v="IL"/>
    <n v="99999"/>
    <s v="USA"/>
    <s v="Credit Card"/>
    <x v="18"/>
    <x v="1"/>
    <n v="10"/>
    <n v="80"/>
    <x v="168"/>
    <n v="77.599999999999994"/>
  </r>
  <r>
    <n v="1216"/>
    <x v="83"/>
    <n v="10"/>
    <x v="8"/>
    <s v="123 10th Street"/>
    <x v="7"/>
    <x v="7"/>
    <n v="99999"/>
    <x v="0"/>
    <x v="6"/>
    <x v="1"/>
    <m/>
    <s v="Shipping Company A"/>
    <s v="Roland Wacker"/>
    <s v="123 10th Street"/>
    <x v="7"/>
    <s v="IL"/>
    <n v="99999"/>
    <s v="USA"/>
    <m/>
    <x v="1"/>
    <x v="1"/>
    <n v="3.5"/>
    <n v="27"/>
    <x v="169"/>
    <n v="9.072000000000001"/>
  </r>
  <r>
    <n v="1217"/>
    <x v="84"/>
    <n v="11"/>
    <x v="10"/>
    <s v="123 11th Street"/>
    <x v="9"/>
    <x v="9"/>
    <n v="99999"/>
    <x v="0"/>
    <x v="5"/>
    <x v="3"/>
    <m/>
    <s v="Shipping Company C"/>
    <s v="Peter Krschne"/>
    <s v="123 11th Street"/>
    <x v="9"/>
    <s v="FL"/>
    <n v="99999"/>
    <s v="USA"/>
    <m/>
    <x v="9"/>
    <x v="5"/>
    <n v="40"/>
    <n v="97"/>
    <x v="170"/>
    <n v="380.24"/>
  </r>
  <r>
    <n v="1218"/>
    <x v="73"/>
    <n v="1"/>
    <x v="11"/>
    <s v="123 1st Street"/>
    <x v="10"/>
    <x v="10"/>
    <n v="99999"/>
    <x v="0"/>
    <x v="2"/>
    <x v="2"/>
    <m/>
    <s v="Shipping Company C"/>
    <s v="Anna Bedecs"/>
    <s v="123 1st Street"/>
    <x v="10"/>
    <s v="WA"/>
    <n v="99999"/>
    <s v="USA"/>
    <m/>
    <x v="13"/>
    <x v="8"/>
    <n v="18.399999999999999"/>
    <n v="42"/>
    <x v="171"/>
    <n v="80.371200000000002"/>
  </r>
  <r>
    <n v="1219"/>
    <x v="74"/>
    <n v="28"/>
    <x v="7"/>
    <s v="789 28th Street"/>
    <x v="6"/>
    <x v="6"/>
    <n v="99999"/>
    <x v="0"/>
    <x v="5"/>
    <x v="3"/>
    <n v="41850"/>
    <s v="Shipping Company C"/>
    <s v="Amritansh Raghav"/>
    <s v="789 28th Street"/>
    <x v="6"/>
    <s v="TN"/>
    <n v="99999"/>
    <s v="USA"/>
    <s v="Credit Card"/>
    <x v="5"/>
    <x v="0"/>
    <n v="46"/>
    <n v="24"/>
    <x v="15"/>
    <n v="105.98399999999999"/>
  </r>
  <r>
    <n v="1220"/>
    <x v="75"/>
    <n v="9"/>
    <x v="12"/>
    <s v="123 9th Street"/>
    <x v="11"/>
    <x v="11"/>
    <n v="99999"/>
    <x v="0"/>
    <x v="7"/>
    <x v="0"/>
    <d v="2014-07-11T00:00:00"/>
    <s v="Shipping Company A"/>
    <s v="Sven Mortensen"/>
    <s v="123 9th Street"/>
    <x v="11"/>
    <s v="UT"/>
    <n v="99999"/>
    <s v="USA"/>
    <s v="Check"/>
    <x v="8"/>
    <x v="4"/>
    <n v="9.65"/>
    <n v="90"/>
    <x v="172"/>
    <n v="83.376000000000005"/>
  </r>
  <r>
    <n v="1221"/>
    <x v="76"/>
    <n v="6"/>
    <x v="6"/>
    <s v="123 6th Street"/>
    <x v="5"/>
    <x v="5"/>
    <n v="99999"/>
    <x v="0"/>
    <x v="4"/>
    <x v="2"/>
    <d v="2014-07-08T00:00:00"/>
    <s v="Shipping Company B"/>
    <s v="Francisco Pérez-Olaeta"/>
    <s v="123 6th Street"/>
    <x v="5"/>
    <s v="WI"/>
    <n v="99999"/>
    <s v="USA"/>
    <s v="Credit Card"/>
    <x v="7"/>
    <x v="3"/>
    <n v="12.75"/>
    <n v="28"/>
    <x v="173"/>
    <n v="35.700000000000003"/>
  </r>
  <r>
    <n v="1222"/>
    <x v="85"/>
    <n v="28"/>
    <x v="7"/>
    <s v="789 28th Street"/>
    <x v="6"/>
    <x v="6"/>
    <n v="99999"/>
    <x v="0"/>
    <x v="5"/>
    <x v="3"/>
    <d v="2014-08-30T00:00:00"/>
    <s v="Shipping Company C"/>
    <s v="Amritansh Raghav"/>
    <s v="789 28th Street"/>
    <x v="6"/>
    <s v="TN"/>
    <n v="99999"/>
    <s v="USA"/>
    <s v="Check"/>
    <x v="5"/>
    <x v="0"/>
    <n v="46"/>
    <n v="28"/>
    <x v="174"/>
    <n v="133.95200000000003"/>
  </r>
  <r>
    <n v="1223"/>
    <x v="86"/>
    <n v="8"/>
    <x v="3"/>
    <s v="123 8th Street"/>
    <x v="2"/>
    <x v="2"/>
    <n v="99999"/>
    <x v="0"/>
    <x v="2"/>
    <x v="2"/>
    <d v="2014-08-10T00:00:00"/>
    <s v="Shipping Company C"/>
    <s v="Elizabeth Andersen"/>
    <s v="123 8th Street"/>
    <x v="2"/>
    <s v="OR"/>
    <n v="99999"/>
    <s v="USA"/>
    <s v="Check"/>
    <x v="7"/>
    <x v="3"/>
    <n v="12.75"/>
    <n v="57"/>
    <x v="175"/>
    <n v="69.768000000000001"/>
  </r>
  <r>
    <n v="1224"/>
    <x v="87"/>
    <n v="10"/>
    <x v="8"/>
    <s v="123 10th Street"/>
    <x v="7"/>
    <x v="7"/>
    <n v="99999"/>
    <x v="0"/>
    <x v="6"/>
    <x v="1"/>
    <d v="2014-08-12T00:00:00"/>
    <s v="Shipping Company B"/>
    <s v="Roland Wacker"/>
    <s v="123 10th Street"/>
    <x v="7"/>
    <s v="IL"/>
    <n v="99999"/>
    <s v="USA"/>
    <s v="Credit Card"/>
    <x v="10"/>
    <x v="0"/>
    <n v="2.99"/>
    <n v="23"/>
    <x v="176"/>
    <n v="6.6706900000000013"/>
  </r>
  <r>
    <n v="1225"/>
    <x v="88"/>
    <n v="7"/>
    <x v="9"/>
    <s v="123 7th Street"/>
    <x v="8"/>
    <x v="8"/>
    <n v="99999"/>
    <x v="0"/>
    <x v="2"/>
    <x v="2"/>
    <m/>
    <m/>
    <s v="Ming-Yang Xie"/>
    <s v="123 7th Street"/>
    <x v="8"/>
    <s v="ID"/>
    <n v="99999"/>
    <s v="USA"/>
    <m/>
    <x v="5"/>
    <x v="0"/>
    <n v="46"/>
    <n v="86"/>
    <x v="177"/>
    <n v="399.55600000000004"/>
  </r>
  <r>
    <n v="1226"/>
    <x v="87"/>
    <n v="10"/>
    <x v="8"/>
    <s v="123 10th Street"/>
    <x v="7"/>
    <x v="7"/>
    <n v="99999"/>
    <x v="0"/>
    <x v="6"/>
    <x v="1"/>
    <d v="2014-08-12T00:00:00"/>
    <s v="Shipping Company A"/>
    <s v="Roland Wacker"/>
    <s v="123 10th Street"/>
    <x v="7"/>
    <s v="IL"/>
    <n v="99999"/>
    <s v="USA"/>
    <m/>
    <x v="11"/>
    <x v="6"/>
    <n v="25"/>
    <n v="47"/>
    <x v="178"/>
    <n v="116.325"/>
  </r>
  <r>
    <n v="1227"/>
    <x v="87"/>
    <n v="10"/>
    <x v="8"/>
    <s v="123 10th Street"/>
    <x v="7"/>
    <x v="7"/>
    <n v="99999"/>
    <x v="0"/>
    <x v="6"/>
    <x v="1"/>
    <d v="2014-08-12T00:00:00"/>
    <s v="Shipping Company A"/>
    <s v="Roland Wacker"/>
    <s v="123 10th Street"/>
    <x v="7"/>
    <s v="IL"/>
    <n v="99999"/>
    <s v="USA"/>
    <m/>
    <x v="12"/>
    <x v="7"/>
    <n v="22"/>
    <n v="97"/>
    <x v="179"/>
    <n v="221.93600000000001"/>
  </r>
  <r>
    <n v="1228"/>
    <x v="87"/>
    <n v="10"/>
    <x v="8"/>
    <s v="123 10th Street"/>
    <x v="7"/>
    <x v="7"/>
    <n v="99999"/>
    <x v="0"/>
    <x v="6"/>
    <x v="1"/>
    <d v="2014-08-12T00:00:00"/>
    <s v="Shipping Company A"/>
    <s v="Roland Wacker"/>
    <s v="123 10th Street"/>
    <x v="7"/>
    <s v="IL"/>
    <n v="99999"/>
    <s v="USA"/>
    <m/>
    <x v="6"/>
    <x v="2"/>
    <n v="9.1999999999999993"/>
    <n v="96"/>
    <x v="180"/>
    <n v="86.553599999999989"/>
  </r>
  <r>
    <n v="1229"/>
    <x v="89"/>
    <n v="11"/>
    <x v="10"/>
    <s v="123 11th Street"/>
    <x v="9"/>
    <x v="9"/>
    <n v="99999"/>
    <x v="0"/>
    <x v="5"/>
    <x v="3"/>
    <m/>
    <s v="Shipping Company C"/>
    <s v="Peter Krschne"/>
    <s v="123 11th Street"/>
    <x v="9"/>
    <s v="FL"/>
    <n v="99999"/>
    <s v="USA"/>
    <m/>
    <x v="1"/>
    <x v="1"/>
    <n v="3.5"/>
    <n v="31"/>
    <x v="181"/>
    <n v="10.850000000000001"/>
  </r>
  <r>
    <n v="1230"/>
    <x v="89"/>
    <n v="11"/>
    <x v="10"/>
    <s v="123 11th Street"/>
    <x v="9"/>
    <x v="9"/>
    <n v="99999"/>
    <x v="0"/>
    <x v="5"/>
    <x v="3"/>
    <m/>
    <s v="Shipping Company C"/>
    <s v="Peter Krschne"/>
    <s v="123 11th Street"/>
    <x v="9"/>
    <s v="FL"/>
    <n v="99999"/>
    <s v="USA"/>
    <m/>
    <x v="10"/>
    <x v="0"/>
    <n v="2.99"/>
    <n v="52"/>
    <x v="182"/>
    <n v="16.014440000000004"/>
  </r>
  <r>
    <n v="1231"/>
    <x v="90"/>
    <n v="1"/>
    <x v="11"/>
    <s v="123 1st Street"/>
    <x v="10"/>
    <x v="10"/>
    <n v="99999"/>
    <x v="0"/>
    <x v="2"/>
    <x v="2"/>
    <m/>
    <m/>
    <s v="Anna Bedecs"/>
    <s v="123 1st Street"/>
    <x v="10"/>
    <s v="WA"/>
    <n v="99999"/>
    <s v="USA"/>
    <m/>
    <x v="4"/>
    <x v="0"/>
    <n v="18"/>
    <n v="91"/>
    <x v="183"/>
    <n v="158.886"/>
  </r>
  <r>
    <n v="1232"/>
    <x v="90"/>
    <n v="1"/>
    <x v="11"/>
    <s v="123 1st Street"/>
    <x v="10"/>
    <x v="10"/>
    <n v="99999"/>
    <x v="0"/>
    <x v="2"/>
    <x v="2"/>
    <m/>
    <m/>
    <s v="Anna Bedecs"/>
    <s v="123 1st Street"/>
    <x v="10"/>
    <s v="WA"/>
    <n v="99999"/>
    <s v="USA"/>
    <m/>
    <x v="5"/>
    <x v="0"/>
    <n v="46"/>
    <n v="14"/>
    <x v="184"/>
    <n v="63.756000000000007"/>
  </r>
  <r>
    <n v="1233"/>
    <x v="90"/>
    <n v="1"/>
    <x v="11"/>
    <s v="123 1st Street"/>
    <x v="10"/>
    <x v="10"/>
    <n v="99999"/>
    <x v="0"/>
    <x v="2"/>
    <x v="2"/>
    <m/>
    <m/>
    <s v="Anna Bedecs"/>
    <s v="123 1st Street"/>
    <x v="10"/>
    <s v="WA"/>
    <n v="99999"/>
    <s v="USA"/>
    <m/>
    <x v="10"/>
    <x v="0"/>
    <n v="2.99"/>
    <n v="44"/>
    <x v="185"/>
    <n v="13.287560000000001"/>
  </r>
  <r>
    <n v="1234"/>
    <x v="85"/>
    <n v="28"/>
    <x v="7"/>
    <s v="789 28th Street"/>
    <x v="6"/>
    <x v="6"/>
    <n v="99999"/>
    <x v="0"/>
    <x v="5"/>
    <x v="3"/>
    <d v="2014-08-30T00:00:00"/>
    <s v="Shipping Company C"/>
    <s v="Amritansh Raghav"/>
    <s v="789 28th Street"/>
    <x v="6"/>
    <s v="TN"/>
    <n v="99999"/>
    <s v="USA"/>
    <s v="Credit Card"/>
    <x v="8"/>
    <x v="4"/>
    <n v="9.65"/>
    <n v="97"/>
    <x v="53"/>
    <n v="95.477100000000021"/>
  </r>
  <r>
    <n v="1235"/>
    <x v="85"/>
    <n v="28"/>
    <x v="7"/>
    <s v="789 28th Street"/>
    <x v="6"/>
    <x v="6"/>
    <n v="99999"/>
    <x v="0"/>
    <x v="5"/>
    <x v="3"/>
    <d v="2014-08-30T00:00:00"/>
    <s v="Shipping Company C"/>
    <s v="Amritansh Raghav"/>
    <s v="789 28th Street"/>
    <x v="6"/>
    <s v="TN"/>
    <n v="99999"/>
    <s v="USA"/>
    <s v="Credit Card"/>
    <x v="13"/>
    <x v="8"/>
    <n v="18.399999999999999"/>
    <n v="80"/>
    <x v="36"/>
    <n v="150.14400000000003"/>
  </r>
  <r>
    <n v="1236"/>
    <x v="91"/>
    <n v="9"/>
    <x v="12"/>
    <s v="123 9th Street"/>
    <x v="11"/>
    <x v="11"/>
    <n v="99999"/>
    <x v="0"/>
    <x v="7"/>
    <x v="0"/>
    <d v="2014-08-11T00:00:00"/>
    <s v="Shipping Company A"/>
    <s v="Sven Mortensen"/>
    <s v="123 9th Street"/>
    <x v="11"/>
    <s v="UT"/>
    <n v="99999"/>
    <s v="USA"/>
    <s v="Check"/>
    <x v="14"/>
    <x v="9"/>
    <n v="19.5"/>
    <n v="66"/>
    <x v="186"/>
    <n v="132.56100000000001"/>
  </r>
  <r>
    <n v="1237"/>
    <x v="91"/>
    <n v="9"/>
    <x v="12"/>
    <s v="123 9th Street"/>
    <x v="11"/>
    <x v="11"/>
    <n v="99999"/>
    <x v="0"/>
    <x v="7"/>
    <x v="0"/>
    <d v="2014-08-11T00:00:00"/>
    <s v="Shipping Company A"/>
    <s v="Sven Mortensen"/>
    <s v="123 9th Street"/>
    <x v="11"/>
    <s v="UT"/>
    <n v="99999"/>
    <s v="USA"/>
    <s v="Check"/>
    <x v="15"/>
    <x v="10"/>
    <n v="34.799999999999997"/>
    <n v="32"/>
    <x v="187"/>
    <n v="111.36"/>
  </r>
  <r>
    <n v="1238"/>
    <x v="92"/>
    <n v="6"/>
    <x v="6"/>
    <s v="123 6th Street"/>
    <x v="5"/>
    <x v="5"/>
    <n v="99999"/>
    <x v="0"/>
    <x v="4"/>
    <x v="2"/>
    <d v="2014-08-08T00:00:00"/>
    <s v="Shipping Company B"/>
    <s v="Francisco Pérez-Olaeta"/>
    <s v="123 6th Street"/>
    <x v="5"/>
    <s v="WI"/>
    <n v="99999"/>
    <s v="USA"/>
    <s v="Credit Card"/>
    <x v="0"/>
    <x v="0"/>
    <n v="14"/>
    <n v="52"/>
    <x v="188"/>
    <n v="72.8"/>
  </r>
  <r>
    <n v="1239"/>
    <x v="86"/>
    <n v="8"/>
    <x v="3"/>
    <s v="123 8th Street"/>
    <x v="2"/>
    <x v="2"/>
    <n v="99999"/>
    <x v="0"/>
    <x v="2"/>
    <x v="2"/>
    <d v="2014-08-10T00:00:00"/>
    <s v="Shipping Company B"/>
    <s v="Elizabeth Andersen"/>
    <s v="123 8th Street"/>
    <x v="2"/>
    <s v="OR"/>
    <n v="99999"/>
    <s v="USA"/>
    <s v="Check"/>
    <x v="9"/>
    <x v="5"/>
    <n v="40"/>
    <n v="78"/>
    <x v="189"/>
    <n v="318.24"/>
  </r>
  <r>
    <n v="1240"/>
    <x v="86"/>
    <n v="8"/>
    <x v="3"/>
    <s v="123 8th Street"/>
    <x v="2"/>
    <x v="2"/>
    <n v="99999"/>
    <x v="0"/>
    <x v="2"/>
    <x v="2"/>
    <d v="2014-08-10T00:00:00"/>
    <s v="Shipping Company B"/>
    <s v="Elizabeth Andersen"/>
    <s v="123 8th Street"/>
    <x v="2"/>
    <s v="OR"/>
    <n v="99999"/>
    <s v="USA"/>
    <s v="Check"/>
    <x v="6"/>
    <x v="2"/>
    <n v="9.1999999999999993"/>
    <n v="54"/>
    <x v="190"/>
    <n v="49.183199999999999"/>
  </r>
  <r>
    <n v="1241"/>
    <x v="93"/>
    <n v="25"/>
    <x v="13"/>
    <s v="789 25th Street"/>
    <x v="7"/>
    <x v="7"/>
    <n v="99999"/>
    <x v="0"/>
    <x v="6"/>
    <x v="1"/>
    <d v="2014-08-27T00:00:00"/>
    <s v="Shipping Company A"/>
    <s v="John Rodman"/>
    <s v="789 25th Street"/>
    <x v="7"/>
    <s v="IL"/>
    <n v="99999"/>
    <s v="USA"/>
    <s v="Cash"/>
    <x v="21"/>
    <x v="2"/>
    <n v="10"/>
    <n v="55"/>
    <x v="62"/>
    <n v="52.25"/>
  </r>
  <r>
    <n v="1242"/>
    <x v="94"/>
    <n v="26"/>
    <x v="14"/>
    <s v="789 26th Street"/>
    <x v="9"/>
    <x v="9"/>
    <n v="99999"/>
    <x v="0"/>
    <x v="5"/>
    <x v="3"/>
    <d v="2014-08-28T00:00:00"/>
    <s v="Shipping Company C"/>
    <s v="Run Liu"/>
    <s v="789 26th Street"/>
    <x v="9"/>
    <s v="FL"/>
    <n v="99999"/>
    <s v="USA"/>
    <s v="Credit Card"/>
    <x v="22"/>
    <x v="13"/>
    <n v="21.35"/>
    <n v="60"/>
    <x v="191"/>
    <n v="129.381"/>
  </r>
  <r>
    <n v="1243"/>
    <x v="94"/>
    <n v="26"/>
    <x v="14"/>
    <s v="789 26th Street"/>
    <x v="9"/>
    <x v="9"/>
    <n v="99999"/>
    <x v="0"/>
    <x v="5"/>
    <x v="3"/>
    <d v="2014-08-28T00:00:00"/>
    <s v="Shipping Company C"/>
    <s v="Run Liu"/>
    <s v="789 26th Street"/>
    <x v="9"/>
    <s v="FL"/>
    <n v="99999"/>
    <s v="USA"/>
    <s v="Credit Card"/>
    <x v="8"/>
    <x v="4"/>
    <n v="9.65"/>
    <n v="19"/>
    <x v="192"/>
    <n v="17.41825"/>
  </r>
  <r>
    <n v="1244"/>
    <x v="94"/>
    <n v="26"/>
    <x v="14"/>
    <s v="789 26th Street"/>
    <x v="9"/>
    <x v="9"/>
    <n v="99999"/>
    <x v="0"/>
    <x v="5"/>
    <x v="3"/>
    <d v="2014-08-28T00:00:00"/>
    <s v="Shipping Company C"/>
    <s v="Run Liu"/>
    <s v="789 26th Street"/>
    <x v="9"/>
    <s v="FL"/>
    <n v="99999"/>
    <s v="USA"/>
    <s v="Credit Card"/>
    <x v="13"/>
    <x v="8"/>
    <n v="18.399999999999999"/>
    <n v="66"/>
    <x v="193"/>
    <n v="125.08320000000001"/>
  </r>
  <r>
    <n v="1245"/>
    <x v="95"/>
    <n v="29"/>
    <x v="4"/>
    <s v="789 29th Street"/>
    <x v="3"/>
    <x v="3"/>
    <n v="99999"/>
    <x v="0"/>
    <x v="3"/>
    <x v="0"/>
    <d v="2014-08-31T00:00:00"/>
    <s v="Shipping Company B"/>
    <s v="Soo Jung Lee"/>
    <s v="789 29th Street"/>
    <x v="3"/>
    <s v="CO"/>
    <n v="99999"/>
    <s v="USA"/>
    <s v="Check"/>
    <x v="0"/>
    <x v="0"/>
    <n v="14"/>
    <n v="42"/>
    <x v="194"/>
    <n v="59.388000000000005"/>
  </r>
  <r>
    <n v="1246"/>
    <x v="92"/>
    <n v="6"/>
    <x v="6"/>
    <s v="123 6th Street"/>
    <x v="5"/>
    <x v="5"/>
    <n v="99999"/>
    <x v="0"/>
    <x v="4"/>
    <x v="2"/>
    <n v="41859"/>
    <s v="Shipping Company C"/>
    <s v="Francisco Pérez-Olaeta"/>
    <s v="123 6th Street"/>
    <x v="5"/>
    <s v="WI"/>
    <n v="99999"/>
    <s v="USA"/>
    <s v="Check"/>
    <x v="7"/>
    <x v="3"/>
    <n v="12.75"/>
    <n v="72"/>
    <x v="195"/>
    <n v="89.046000000000006"/>
  </r>
  <r>
    <n v="1248"/>
    <x v="96"/>
    <n v="4"/>
    <x v="1"/>
    <s v="123 4th Street"/>
    <x v="1"/>
    <x v="1"/>
    <n v="99999"/>
    <x v="0"/>
    <x v="1"/>
    <x v="1"/>
    <n v="41857"/>
    <s v="Shipping Company A"/>
    <s v="Christina Lee"/>
    <s v="123 4th Street"/>
    <x v="1"/>
    <s v="NY"/>
    <n v="99999"/>
    <s v="USA"/>
    <s v="Credit Card"/>
    <x v="23"/>
    <x v="6"/>
    <n v="81"/>
    <n v="32"/>
    <x v="196"/>
    <n v="251.42399999999998"/>
  </r>
  <r>
    <n v="1249"/>
    <x v="96"/>
    <n v="4"/>
    <x v="1"/>
    <s v="123 4th Street"/>
    <x v="1"/>
    <x v="1"/>
    <n v="99999"/>
    <x v="0"/>
    <x v="1"/>
    <x v="1"/>
    <n v="41857"/>
    <s v="Shipping Company A"/>
    <s v="Christina Lee"/>
    <s v="123 4th Street"/>
    <x v="1"/>
    <s v="NY"/>
    <n v="99999"/>
    <s v="USA"/>
    <s v="Credit Card"/>
    <x v="24"/>
    <x v="14"/>
    <n v="7"/>
    <n v="76"/>
    <x v="197"/>
    <n v="53.732000000000006"/>
  </r>
  <r>
    <n v="1250"/>
    <x v="97"/>
    <n v="10"/>
    <x v="8"/>
    <s v="123 10th Street"/>
    <x v="7"/>
    <x v="7"/>
    <n v="99999"/>
    <x v="0"/>
    <x v="6"/>
    <x v="1"/>
    <n v="41894"/>
    <s v="Shipping Company A"/>
    <s v="Roland Wacker"/>
    <s v="123 10th Street"/>
    <x v="7"/>
    <s v="IL"/>
    <n v="99999"/>
    <s v="USA"/>
    <m/>
    <x v="6"/>
    <x v="2"/>
    <n v="9.1999999999999993"/>
    <n v="83"/>
    <x v="198"/>
    <n v="74.832799999999992"/>
  </r>
  <r>
    <n v="1251"/>
    <x v="98"/>
    <n v="11"/>
    <x v="10"/>
    <s v="123 11th Street"/>
    <x v="9"/>
    <x v="9"/>
    <n v="99999"/>
    <x v="0"/>
    <x v="5"/>
    <x v="3"/>
    <m/>
    <s v="Shipping Company C"/>
    <s v="Peter Krschne"/>
    <s v="123 11th Street"/>
    <x v="9"/>
    <s v="FL"/>
    <n v="99999"/>
    <s v="USA"/>
    <m/>
    <x v="1"/>
    <x v="1"/>
    <n v="3.5"/>
    <n v="91"/>
    <x v="199"/>
    <n v="31.213000000000001"/>
  </r>
  <r>
    <n v="1252"/>
    <x v="98"/>
    <n v="11"/>
    <x v="10"/>
    <s v="123 11th Street"/>
    <x v="9"/>
    <x v="9"/>
    <n v="99999"/>
    <x v="0"/>
    <x v="5"/>
    <x v="3"/>
    <m/>
    <s v="Shipping Company C"/>
    <s v="Peter Krschne"/>
    <s v="123 11th Street"/>
    <x v="9"/>
    <s v="FL"/>
    <n v="99999"/>
    <s v="USA"/>
    <m/>
    <x v="10"/>
    <x v="0"/>
    <n v="2.99"/>
    <n v="64"/>
    <x v="200"/>
    <n v="19.518720000000002"/>
  </r>
  <r>
    <n v="1253"/>
    <x v="99"/>
    <n v="1"/>
    <x v="11"/>
    <s v="123 1st Street"/>
    <x v="10"/>
    <x v="10"/>
    <n v="99999"/>
    <x v="0"/>
    <x v="2"/>
    <x v="2"/>
    <m/>
    <m/>
    <s v="Anna Bedecs"/>
    <s v="123 1st Street"/>
    <x v="10"/>
    <s v="WA"/>
    <n v="99999"/>
    <s v="USA"/>
    <m/>
    <x v="4"/>
    <x v="0"/>
    <n v="18"/>
    <n v="58"/>
    <x v="137"/>
    <n v="103.35600000000001"/>
  </r>
  <r>
    <n v="1254"/>
    <x v="99"/>
    <n v="1"/>
    <x v="11"/>
    <s v="123 1st Street"/>
    <x v="10"/>
    <x v="10"/>
    <n v="99999"/>
    <x v="0"/>
    <x v="2"/>
    <x v="2"/>
    <m/>
    <m/>
    <s v="Anna Bedecs"/>
    <s v="123 1st Street"/>
    <x v="10"/>
    <s v="WA"/>
    <n v="99999"/>
    <s v="USA"/>
    <m/>
    <x v="5"/>
    <x v="0"/>
    <n v="46"/>
    <n v="97"/>
    <x v="201"/>
    <n v="464.04800000000006"/>
  </r>
  <r>
    <n v="1255"/>
    <x v="99"/>
    <n v="1"/>
    <x v="11"/>
    <s v="123 1st Street"/>
    <x v="10"/>
    <x v="10"/>
    <n v="99999"/>
    <x v="0"/>
    <x v="2"/>
    <x v="2"/>
    <m/>
    <m/>
    <s v="Anna Bedecs"/>
    <s v="123 1st Street"/>
    <x v="10"/>
    <s v="WA"/>
    <n v="99999"/>
    <s v="USA"/>
    <m/>
    <x v="10"/>
    <x v="0"/>
    <n v="2.99"/>
    <n v="14"/>
    <x v="202"/>
    <n v="4.35344"/>
  </r>
  <r>
    <n v="1256"/>
    <x v="100"/>
    <n v="28"/>
    <x v="7"/>
    <s v="789 28th Street"/>
    <x v="6"/>
    <x v="6"/>
    <n v="99999"/>
    <x v="0"/>
    <x v="5"/>
    <x v="3"/>
    <d v="2014-09-30T00:00:00"/>
    <s v="Shipping Company C"/>
    <s v="Amritansh Raghav"/>
    <s v="789 28th Street"/>
    <x v="6"/>
    <s v="TN"/>
    <n v="99999"/>
    <s v="USA"/>
    <s v="Credit Card"/>
    <x v="8"/>
    <x v="4"/>
    <n v="9.65"/>
    <n v="68"/>
    <x v="203"/>
    <n v="64.307600000000008"/>
  </r>
  <r>
    <n v="1257"/>
    <x v="100"/>
    <n v="28"/>
    <x v="7"/>
    <s v="789 28th Street"/>
    <x v="6"/>
    <x v="6"/>
    <n v="99999"/>
    <x v="0"/>
    <x v="5"/>
    <x v="3"/>
    <n v="41912"/>
    <s v="Shipping Company C"/>
    <s v="Amritansh Raghav"/>
    <s v="789 28th Street"/>
    <x v="6"/>
    <s v="TN"/>
    <n v="99999"/>
    <s v="USA"/>
    <s v="Credit Card"/>
    <x v="13"/>
    <x v="8"/>
    <n v="18.399999999999999"/>
    <n v="32"/>
    <x v="204"/>
    <n v="58.879999999999995"/>
  </r>
  <r>
    <n v="1258"/>
    <x v="101"/>
    <n v="9"/>
    <x v="12"/>
    <s v="123 9th Street"/>
    <x v="11"/>
    <x v="11"/>
    <n v="99999"/>
    <x v="0"/>
    <x v="7"/>
    <x v="0"/>
    <d v="2014-09-11T00:00:00"/>
    <s v="Shipping Company A"/>
    <s v="Sven Mortensen"/>
    <s v="123 9th Street"/>
    <x v="11"/>
    <s v="UT"/>
    <n v="99999"/>
    <s v="USA"/>
    <s v="Check"/>
    <x v="14"/>
    <x v="9"/>
    <n v="19.5"/>
    <n v="48"/>
    <x v="205"/>
    <n v="94.536000000000016"/>
  </r>
  <r>
    <n v="1259"/>
    <x v="101"/>
    <n v="9"/>
    <x v="12"/>
    <s v="123 9th Street"/>
    <x v="11"/>
    <x v="11"/>
    <n v="99999"/>
    <x v="0"/>
    <x v="7"/>
    <x v="0"/>
    <d v="2014-09-11T00:00:00"/>
    <s v="Shipping Company A"/>
    <s v="Sven Mortensen"/>
    <s v="123 9th Street"/>
    <x v="11"/>
    <s v="UT"/>
    <n v="99999"/>
    <s v="USA"/>
    <s v="Check"/>
    <x v="15"/>
    <x v="10"/>
    <n v="34.799999999999997"/>
    <n v="57"/>
    <x v="206"/>
    <n v="194.39280000000002"/>
  </r>
  <r>
    <n v="1260"/>
    <x v="102"/>
    <n v="6"/>
    <x v="6"/>
    <s v="123 6th Street"/>
    <x v="5"/>
    <x v="5"/>
    <n v="99999"/>
    <x v="0"/>
    <x v="4"/>
    <x v="2"/>
    <d v="2014-09-08T00:00:00"/>
    <s v="Shipping Company B"/>
    <s v="Francisco Pérez-Olaeta"/>
    <s v="123 6th Street"/>
    <x v="5"/>
    <s v="WI"/>
    <n v="99999"/>
    <s v="USA"/>
    <s v="Credit Card"/>
    <x v="0"/>
    <x v="0"/>
    <n v="14"/>
    <n v="67"/>
    <x v="207"/>
    <n v="98.490000000000009"/>
  </r>
  <r>
    <n v="1261"/>
    <x v="103"/>
    <n v="8"/>
    <x v="3"/>
    <s v="123 8th Street"/>
    <x v="2"/>
    <x v="2"/>
    <n v="99999"/>
    <x v="0"/>
    <x v="2"/>
    <x v="2"/>
    <n v="41892"/>
    <s v="Shipping Company B"/>
    <s v="Elizabeth Andersen"/>
    <s v="123 8th Street"/>
    <x v="2"/>
    <s v="OR"/>
    <n v="99999"/>
    <s v="USA"/>
    <s v="Check"/>
    <x v="9"/>
    <x v="5"/>
    <n v="40"/>
    <n v="48"/>
    <x v="208"/>
    <n v="188.16"/>
  </r>
  <r>
    <n v="1262"/>
    <x v="103"/>
    <n v="8"/>
    <x v="3"/>
    <s v="123 8th Street"/>
    <x v="2"/>
    <x v="2"/>
    <n v="99999"/>
    <x v="0"/>
    <x v="2"/>
    <x v="2"/>
    <n v="41892"/>
    <s v="Shipping Company B"/>
    <s v="Elizabeth Andersen"/>
    <s v="123 8th Street"/>
    <x v="2"/>
    <s v="OR"/>
    <n v="99999"/>
    <s v="USA"/>
    <s v="Check"/>
    <x v="6"/>
    <x v="2"/>
    <n v="9.1999999999999993"/>
    <n v="77"/>
    <x v="209"/>
    <n v="72.256799999999998"/>
  </r>
  <r>
    <n v="1263"/>
    <x v="104"/>
    <n v="25"/>
    <x v="13"/>
    <s v="789 25th Street"/>
    <x v="7"/>
    <x v="7"/>
    <n v="99999"/>
    <x v="0"/>
    <x v="6"/>
    <x v="1"/>
    <n v="41909"/>
    <s v="Shipping Company A"/>
    <s v="John Rodman"/>
    <s v="789 25th Street"/>
    <x v="7"/>
    <s v="IL"/>
    <n v="99999"/>
    <s v="USA"/>
    <s v="Cash"/>
    <x v="21"/>
    <x v="2"/>
    <n v="10"/>
    <n v="94"/>
    <x v="210"/>
    <n v="97.76"/>
  </r>
  <r>
    <n v="1264"/>
    <x v="105"/>
    <n v="26"/>
    <x v="14"/>
    <s v="789 26th Street"/>
    <x v="9"/>
    <x v="9"/>
    <n v="99999"/>
    <x v="0"/>
    <x v="5"/>
    <x v="3"/>
    <n v="41910"/>
    <s v="Shipping Company C"/>
    <s v="Run Liu"/>
    <s v="789 26th Street"/>
    <x v="9"/>
    <s v="FL"/>
    <n v="99999"/>
    <s v="USA"/>
    <s v="Credit Card"/>
    <x v="22"/>
    <x v="13"/>
    <n v="21.35"/>
    <n v="54"/>
    <x v="211"/>
    <n v="121.05450000000003"/>
  </r>
  <r>
    <n v="1265"/>
    <x v="105"/>
    <n v="26"/>
    <x v="14"/>
    <s v="789 26th Street"/>
    <x v="9"/>
    <x v="9"/>
    <n v="99999"/>
    <x v="0"/>
    <x v="5"/>
    <x v="3"/>
    <n v="41910"/>
    <s v="Shipping Company C"/>
    <s v="Run Liu"/>
    <s v="789 26th Street"/>
    <x v="9"/>
    <s v="FL"/>
    <n v="99999"/>
    <s v="USA"/>
    <s v="Credit Card"/>
    <x v="8"/>
    <x v="4"/>
    <n v="9.65"/>
    <n v="43"/>
    <x v="84"/>
    <n v="40.250150000000005"/>
  </r>
  <r>
    <n v="1266"/>
    <x v="105"/>
    <n v="26"/>
    <x v="14"/>
    <s v="789 26th Street"/>
    <x v="9"/>
    <x v="9"/>
    <n v="99999"/>
    <x v="0"/>
    <x v="5"/>
    <x v="3"/>
    <d v="2014-09-28T00:00:00"/>
    <s v="Shipping Company C"/>
    <s v="Run Liu"/>
    <s v="789 26th Street"/>
    <x v="9"/>
    <s v="FL"/>
    <n v="99999"/>
    <s v="USA"/>
    <s v="Credit Card"/>
    <x v="13"/>
    <x v="8"/>
    <n v="18.399999999999999"/>
    <n v="71"/>
    <x v="143"/>
    <n v="134.55919999999998"/>
  </r>
  <r>
    <n v="1267"/>
    <x v="106"/>
    <n v="29"/>
    <x v="4"/>
    <s v="789 29th Street"/>
    <x v="3"/>
    <x v="3"/>
    <n v="99999"/>
    <x v="0"/>
    <x v="3"/>
    <x v="0"/>
    <d v="2014-10-01T00:00:00"/>
    <s v="Shipping Company B"/>
    <s v="Soo Jung Lee"/>
    <s v="789 29th Street"/>
    <x v="3"/>
    <s v="CO"/>
    <n v="99999"/>
    <s v="USA"/>
    <s v="Check"/>
    <x v="0"/>
    <x v="0"/>
    <n v="14"/>
    <n v="50"/>
    <x v="212"/>
    <n v="67.2"/>
  </r>
  <r>
    <n v="1268"/>
    <x v="102"/>
    <n v="6"/>
    <x v="6"/>
    <s v="123 6th Street"/>
    <x v="5"/>
    <x v="5"/>
    <n v="99999"/>
    <x v="0"/>
    <x v="4"/>
    <x v="2"/>
    <d v="2014-09-08T00:00:00"/>
    <s v="Shipping Company C"/>
    <s v="Francisco Pérez-Olaeta"/>
    <s v="123 6th Street"/>
    <x v="5"/>
    <s v="WI"/>
    <n v="99999"/>
    <s v="USA"/>
    <s v="Check"/>
    <x v="7"/>
    <x v="3"/>
    <n v="12.75"/>
    <n v="96"/>
    <x v="146"/>
    <n v="119.952"/>
  </r>
  <r>
    <n v="1270"/>
    <x v="107"/>
    <n v="4"/>
    <x v="1"/>
    <s v="123 4th Street"/>
    <x v="1"/>
    <x v="1"/>
    <n v="99999"/>
    <x v="0"/>
    <x v="1"/>
    <x v="1"/>
    <d v="2014-09-06T00:00:00"/>
    <s v="Shipping Company A"/>
    <s v="Christina Lee"/>
    <s v="123 4th Street"/>
    <x v="1"/>
    <s v="NY"/>
    <n v="99999"/>
    <s v="USA"/>
    <s v="Credit Card"/>
    <x v="23"/>
    <x v="6"/>
    <n v="81"/>
    <n v="54"/>
    <x v="213"/>
    <n v="437.40000000000003"/>
  </r>
  <r>
    <n v="1271"/>
    <x v="107"/>
    <n v="4"/>
    <x v="1"/>
    <s v="123 4th Street"/>
    <x v="1"/>
    <x v="1"/>
    <n v="99999"/>
    <x v="0"/>
    <x v="1"/>
    <x v="1"/>
    <d v="2014-09-06T00:00:00"/>
    <s v="Shipping Company A"/>
    <s v="Christina Lee"/>
    <s v="123 4th Street"/>
    <x v="1"/>
    <s v="NY"/>
    <n v="99999"/>
    <s v="USA"/>
    <s v="Credit Card"/>
    <x v="24"/>
    <x v="14"/>
    <n v="7"/>
    <n v="39"/>
    <x v="214"/>
    <n v="27.3"/>
  </r>
  <r>
    <n v="1273"/>
    <x v="103"/>
    <n v="8"/>
    <x v="3"/>
    <s v="123 8th Street"/>
    <x v="2"/>
    <x v="2"/>
    <n v="99999"/>
    <x v="0"/>
    <x v="2"/>
    <x v="2"/>
    <d v="2014-09-10T00:00:00"/>
    <s v="Shipping Company C"/>
    <s v="Elizabeth Andersen"/>
    <s v="123 8th Street"/>
    <x v="2"/>
    <s v="OR"/>
    <n v="99999"/>
    <s v="USA"/>
    <s v="Credit Card"/>
    <x v="15"/>
    <x v="10"/>
    <n v="34.799999999999997"/>
    <n v="63"/>
    <x v="59"/>
    <n v="230.202"/>
  </r>
  <r>
    <n v="1276"/>
    <x v="108"/>
    <n v="3"/>
    <x v="5"/>
    <s v="123 3rd Street"/>
    <x v="4"/>
    <x v="4"/>
    <n v="99999"/>
    <x v="0"/>
    <x v="0"/>
    <x v="0"/>
    <d v="2014-09-05T00:00:00"/>
    <s v="Shipping Company B"/>
    <s v="Thomas Axerr"/>
    <s v="123 3rd Street"/>
    <x v="4"/>
    <s v="CA"/>
    <n v="99999"/>
    <s v="USA"/>
    <s v="Cash"/>
    <x v="16"/>
    <x v="7"/>
    <n v="10"/>
    <n v="71"/>
    <x v="215"/>
    <n v="73.13"/>
  </r>
  <r>
    <n v="1277"/>
    <x v="108"/>
    <n v="3"/>
    <x v="5"/>
    <s v="123 3rd Street"/>
    <x v="4"/>
    <x v="4"/>
    <n v="99999"/>
    <x v="0"/>
    <x v="0"/>
    <x v="0"/>
    <d v="2014-09-05T00:00:00"/>
    <s v="Shipping Company B"/>
    <s v="Thomas Axerr"/>
    <s v="123 3rd Street"/>
    <x v="4"/>
    <s v="CA"/>
    <n v="99999"/>
    <s v="USA"/>
    <s v="Cash"/>
    <x v="9"/>
    <x v="5"/>
    <n v="40"/>
    <n v="88"/>
    <x v="216"/>
    <n v="366.08000000000004"/>
  </r>
  <r>
    <n v="1281"/>
    <x v="97"/>
    <n v="10"/>
    <x v="8"/>
    <s v="123 10th Street"/>
    <x v="7"/>
    <x v="7"/>
    <n v="99999"/>
    <x v="0"/>
    <x v="6"/>
    <x v="1"/>
    <d v="2014-09-12T00:00:00"/>
    <s v="Shipping Company B"/>
    <s v="Roland Wacker"/>
    <s v="123 10th Street"/>
    <x v="7"/>
    <s v="IL"/>
    <n v="99999"/>
    <s v="USA"/>
    <s v="Credit Card"/>
    <x v="18"/>
    <x v="1"/>
    <n v="10"/>
    <n v="59"/>
    <x v="217"/>
    <n v="59.59"/>
  </r>
  <r>
    <n v="1282"/>
    <x v="109"/>
    <n v="6"/>
    <x v="6"/>
    <s v="123 6th Street"/>
    <x v="5"/>
    <x v="5"/>
    <n v="99999"/>
    <x v="0"/>
    <x v="4"/>
    <x v="2"/>
    <d v="2014-10-08T00:00:00"/>
    <s v="Shipping Company B"/>
    <s v="Francisco Pérez-Olaeta"/>
    <s v="123 6th Street"/>
    <x v="5"/>
    <s v="WI"/>
    <n v="99999"/>
    <s v="USA"/>
    <s v="Credit Card"/>
    <x v="9"/>
    <x v="5"/>
    <n v="40"/>
    <n v="94"/>
    <x v="218"/>
    <n v="376"/>
  </r>
  <r>
    <n v="1283"/>
    <x v="110"/>
    <n v="28"/>
    <x v="7"/>
    <s v="789 28th Street"/>
    <x v="6"/>
    <x v="6"/>
    <n v="99999"/>
    <x v="0"/>
    <x v="5"/>
    <x v="3"/>
    <d v="2014-10-30T00:00:00"/>
    <s v="Shipping Company C"/>
    <s v="Amritansh Raghav"/>
    <s v="789 28th Street"/>
    <x v="6"/>
    <s v="TN"/>
    <n v="99999"/>
    <s v="USA"/>
    <s v="Check"/>
    <x v="5"/>
    <x v="0"/>
    <n v="46"/>
    <n v="86"/>
    <x v="177"/>
    <n v="379.77600000000001"/>
  </r>
  <r>
    <n v="1284"/>
    <x v="111"/>
    <n v="8"/>
    <x v="3"/>
    <s v="123 8th Street"/>
    <x v="2"/>
    <x v="2"/>
    <n v="99999"/>
    <x v="0"/>
    <x v="2"/>
    <x v="2"/>
    <d v="2014-10-10T00:00:00"/>
    <s v="Shipping Company C"/>
    <s v="Elizabeth Andersen"/>
    <s v="123 8th Street"/>
    <x v="2"/>
    <s v="OR"/>
    <n v="99999"/>
    <s v="USA"/>
    <s v="Check"/>
    <x v="7"/>
    <x v="3"/>
    <n v="12.75"/>
    <n v="61"/>
    <x v="219"/>
    <n v="78.552750000000003"/>
  </r>
  <r>
    <n v="1285"/>
    <x v="112"/>
    <n v="10"/>
    <x v="8"/>
    <s v="123 10th Street"/>
    <x v="7"/>
    <x v="7"/>
    <n v="99999"/>
    <x v="0"/>
    <x v="6"/>
    <x v="1"/>
    <d v="2014-10-12T00:00:00"/>
    <s v="Shipping Company B"/>
    <s v="Roland Wacker"/>
    <s v="123 10th Street"/>
    <x v="7"/>
    <s v="IL"/>
    <n v="99999"/>
    <s v="USA"/>
    <s v="Credit Card"/>
    <x v="10"/>
    <x v="0"/>
    <n v="2.99"/>
    <n v="32"/>
    <x v="220"/>
    <n v="9.7593600000000009"/>
  </r>
  <r>
    <n v="1286"/>
    <x v="113"/>
    <n v="7"/>
    <x v="9"/>
    <s v="123 7th Street"/>
    <x v="8"/>
    <x v="8"/>
    <n v="99999"/>
    <x v="0"/>
    <x v="2"/>
    <x v="2"/>
    <m/>
    <m/>
    <s v="Ming-Yang Xie"/>
    <s v="123 7th Street"/>
    <x v="8"/>
    <s v="ID"/>
    <n v="99999"/>
    <s v="USA"/>
    <m/>
    <x v="5"/>
    <x v="0"/>
    <n v="46"/>
    <n v="62"/>
    <x v="221"/>
    <n v="290.904"/>
  </r>
  <r>
    <n v="1287"/>
    <x v="112"/>
    <n v="10"/>
    <x v="8"/>
    <s v="123 10th Street"/>
    <x v="7"/>
    <x v="7"/>
    <n v="99999"/>
    <x v="0"/>
    <x v="6"/>
    <x v="1"/>
    <d v="2014-10-12T00:00:00"/>
    <s v="Shipping Company A"/>
    <s v="Roland Wacker"/>
    <s v="123 10th Street"/>
    <x v="7"/>
    <s v="IL"/>
    <n v="99999"/>
    <s v="USA"/>
    <m/>
    <x v="11"/>
    <x v="6"/>
    <n v="25"/>
    <n v="60"/>
    <x v="222"/>
    <n v="154.5"/>
  </r>
  <r>
    <n v="1288"/>
    <x v="112"/>
    <n v="10"/>
    <x v="8"/>
    <s v="123 10th Street"/>
    <x v="7"/>
    <x v="7"/>
    <n v="99999"/>
    <x v="0"/>
    <x v="6"/>
    <x v="1"/>
    <d v="2014-10-12T00:00:00"/>
    <s v="Shipping Company A"/>
    <s v="Roland Wacker"/>
    <s v="123 10th Street"/>
    <x v="7"/>
    <s v="IL"/>
    <n v="99999"/>
    <s v="USA"/>
    <m/>
    <x v="12"/>
    <x v="7"/>
    <n v="22"/>
    <n v="51"/>
    <x v="223"/>
    <n v="109.956"/>
  </r>
  <r>
    <n v="1289"/>
    <x v="112"/>
    <n v="10"/>
    <x v="8"/>
    <s v="123 10th Street"/>
    <x v="7"/>
    <x v="7"/>
    <n v="99999"/>
    <x v="0"/>
    <x v="6"/>
    <x v="1"/>
    <d v="2014-10-12T00:00:00"/>
    <s v="Shipping Company A"/>
    <s v="Roland Wacker"/>
    <s v="123 10th Street"/>
    <x v="7"/>
    <s v="IL"/>
    <n v="99999"/>
    <s v="USA"/>
    <m/>
    <x v="6"/>
    <x v="2"/>
    <n v="9.1999999999999993"/>
    <n v="49"/>
    <x v="224"/>
    <n v="44.629199999999997"/>
  </r>
  <r>
    <n v="1290"/>
    <x v="114"/>
    <n v="11"/>
    <x v="10"/>
    <s v="123 11th Street"/>
    <x v="9"/>
    <x v="9"/>
    <n v="99999"/>
    <x v="0"/>
    <x v="5"/>
    <x v="3"/>
    <m/>
    <s v="Shipping Company C"/>
    <s v="Peter Krschne"/>
    <s v="123 11th Street"/>
    <x v="9"/>
    <s v="FL"/>
    <n v="99999"/>
    <s v="USA"/>
    <m/>
    <x v="1"/>
    <x v="1"/>
    <n v="3.5"/>
    <n v="20"/>
    <x v="225"/>
    <n v="6.93"/>
  </r>
  <r>
    <n v="1291"/>
    <x v="114"/>
    <n v="11"/>
    <x v="10"/>
    <s v="123 11th Street"/>
    <x v="9"/>
    <x v="9"/>
    <n v="99999"/>
    <x v="0"/>
    <x v="5"/>
    <x v="3"/>
    <m/>
    <s v="Shipping Company C"/>
    <s v="Peter Krschne"/>
    <s v="123 11th Street"/>
    <x v="9"/>
    <s v="FL"/>
    <n v="99999"/>
    <s v="USA"/>
    <m/>
    <x v="10"/>
    <x v="0"/>
    <n v="2.99"/>
    <n v="49"/>
    <x v="20"/>
    <n v="14.651000000000003"/>
  </r>
  <r>
    <n v="1292"/>
    <x v="115"/>
    <n v="1"/>
    <x v="11"/>
    <s v="123 1st Street"/>
    <x v="10"/>
    <x v="10"/>
    <n v="99999"/>
    <x v="0"/>
    <x v="2"/>
    <x v="2"/>
    <m/>
    <m/>
    <s v="Anna Bedecs"/>
    <s v="123 1st Street"/>
    <x v="10"/>
    <s v="WA"/>
    <n v="99999"/>
    <s v="USA"/>
    <m/>
    <x v="4"/>
    <x v="0"/>
    <n v="18"/>
    <n v="22"/>
    <x v="226"/>
    <n v="38.015999999999998"/>
  </r>
  <r>
    <n v="1293"/>
    <x v="115"/>
    <n v="1"/>
    <x v="11"/>
    <s v="123 1st Street"/>
    <x v="10"/>
    <x v="10"/>
    <n v="99999"/>
    <x v="0"/>
    <x v="2"/>
    <x v="2"/>
    <m/>
    <m/>
    <s v="Anna Bedecs"/>
    <s v="123 1st Street"/>
    <x v="10"/>
    <s v="WA"/>
    <n v="99999"/>
    <s v="USA"/>
    <m/>
    <x v="5"/>
    <x v="0"/>
    <n v="46"/>
    <n v="73"/>
    <x v="227"/>
    <n v="339.15800000000002"/>
  </r>
  <r>
    <n v="1294"/>
    <x v="115"/>
    <n v="1"/>
    <x v="11"/>
    <s v="123 1st Street"/>
    <x v="10"/>
    <x v="10"/>
    <n v="99999"/>
    <x v="0"/>
    <x v="2"/>
    <x v="2"/>
    <m/>
    <m/>
    <s v="Anna Bedecs"/>
    <s v="123 1st Street"/>
    <x v="10"/>
    <s v="WA"/>
    <n v="99999"/>
    <s v="USA"/>
    <m/>
    <x v="10"/>
    <x v="0"/>
    <n v="2.99"/>
    <n v="85"/>
    <x v="228"/>
    <n v="24.652550000000002"/>
  </r>
  <r>
    <n v="1295"/>
    <x v="110"/>
    <n v="28"/>
    <x v="7"/>
    <s v="789 28th Street"/>
    <x v="6"/>
    <x v="6"/>
    <n v="99999"/>
    <x v="0"/>
    <x v="5"/>
    <x v="3"/>
    <d v="2014-10-30T00:00:00"/>
    <s v="Shipping Company C"/>
    <s v="Amritansh Raghav"/>
    <s v="789 28th Street"/>
    <x v="6"/>
    <s v="TN"/>
    <n v="99999"/>
    <s v="USA"/>
    <s v="Credit Card"/>
    <x v="8"/>
    <x v="4"/>
    <n v="9.65"/>
    <n v="44"/>
    <x v="229"/>
    <n v="44.158400000000007"/>
  </r>
  <r>
    <n v="1296"/>
    <x v="110"/>
    <n v="28"/>
    <x v="7"/>
    <s v="789 28th Street"/>
    <x v="6"/>
    <x v="6"/>
    <n v="99999"/>
    <x v="0"/>
    <x v="5"/>
    <x v="3"/>
    <d v="2014-10-30T00:00:00"/>
    <s v="Shipping Company C"/>
    <s v="Amritansh Raghav"/>
    <s v="789 28th Street"/>
    <x v="6"/>
    <s v="TN"/>
    <n v="99999"/>
    <s v="USA"/>
    <s v="Credit Card"/>
    <x v="13"/>
    <x v="8"/>
    <n v="18.399999999999999"/>
    <n v="24"/>
    <x v="230"/>
    <n v="42.835199999999993"/>
  </r>
  <r>
    <n v="1297"/>
    <x v="116"/>
    <n v="9"/>
    <x v="12"/>
    <s v="123 9th Street"/>
    <x v="11"/>
    <x v="11"/>
    <n v="99999"/>
    <x v="0"/>
    <x v="7"/>
    <x v="0"/>
    <d v="2014-10-11T00:00:00"/>
    <s v="Shipping Company A"/>
    <s v="Sven Mortensen"/>
    <s v="123 9th Street"/>
    <x v="11"/>
    <s v="UT"/>
    <n v="99999"/>
    <s v="USA"/>
    <s v="Check"/>
    <x v="14"/>
    <x v="9"/>
    <n v="19.5"/>
    <n v="64"/>
    <x v="231"/>
    <n v="119.80800000000001"/>
  </r>
  <r>
    <n v="1298"/>
    <x v="116"/>
    <n v="9"/>
    <x v="12"/>
    <s v="123 9th Street"/>
    <x v="11"/>
    <x v="11"/>
    <n v="99999"/>
    <x v="0"/>
    <x v="7"/>
    <x v="0"/>
    <d v="2014-10-11T00:00:00"/>
    <s v="Shipping Company A"/>
    <s v="Sven Mortensen"/>
    <s v="123 9th Street"/>
    <x v="11"/>
    <s v="UT"/>
    <n v="99999"/>
    <s v="USA"/>
    <s v="Check"/>
    <x v="15"/>
    <x v="10"/>
    <n v="34.799999999999997"/>
    <n v="70"/>
    <x v="232"/>
    <n v="246.03600000000003"/>
  </r>
  <r>
    <n v="1299"/>
    <x v="109"/>
    <n v="6"/>
    <x v="6"/>
    <s v="123 6th Street"/>
    <x v="5"/>
    <x v="5"/>
    <n v="99999"/>
    <x v="0"/>
    <x v="4"/>
    <x v="2"/>
    <d v="2014-10-08T00:00:00"/>
    <s v="Shipping Company B"/>
    <s v="Francisco Pérez-Olaeta"/>
    <s v="123 6th Street"/>
    <x v="5"/>
    <s v="WI"/>
    <n v="99999"/>
    <s v="USA"/>
    <s v="Credit Card"/>
    <x v="0"/>
    <x v="0"/>
    <n v="14"/>
    <n v="98"/>
    <x v="233"/>
    <n v="138.57200000000003"/>
  </r>
  <r>
    <n v="1300"/>
    <x v="111"/>
    <n v="8"/>
    <x v="3"/>
    <s v="123 8th Street"/>
    <x v="2"/>
    <x v="2"/>
    <n v="99999"/>
    <x v="0"/>
    <x v="2"/>
    <x v="2"/>
    <d v="2014-10-10T00:00:00"/>
    <s v="Shipping Company B"/>
    <s v="Elizabeth Andersen"/>
    <s v="123 8th Street"/>
    <x v="2"/>
    <s v="OR"/>
    <n v="99999"/>
    <s v="USA"/>
    <s v="Check"/>
    <x v="9"/>
    <x v="5"/>
    <n v="40"/>
    <n v="48"/>
    <x v="208"/>
    <n v="188.16"/>
  </r>
  <r>
    <n v="1301"/>
    <x v="111"/>
    <n v="8"/>
    <x v="3"/>
    <s v="123 8th Street"/>
    <x v="2"/>
    <x v="2"/>
    <n v="99999"/>
    <x v="0"/>
    <x v="2"/>
    <x v="2"/>
    <d v="2014-10-10T00:00:00"/>
    <s v="Shipping Company B"/>
    <s v="Elizabeth Andersen"/>
    <s v="123 8th Street"/>
    <x v="2"/>
    <s v="OR"/>
    <n v="99999"/>
    <s v="USA"/>
    <s v="Check"/>
    <x v="6"/>
    <x v="2"/>
    <n v="9.1999999999999993"/>
    <n v="100"/>
    <x v="234"/>
    <n v="91.08"/>
  </r>
  <r>
    <n v="1302"/>
    <x v="117"/>
    <n v="25"/>
    <x v="13"/>
    <s v="789 25th Street"/>
    <x v="7"/>
    <x v="7"/>
    <n v="99999"/>
    <x v="0"/>
    <x v="6"/>
    <x v="1"/>
    <d v="2014-10-27T00:00:00"/>
    <s v="Shipping Company A"/>
    <s v="John Rodman"/>
    <s v="789 25th Street"/>
    <x v="7"/>
    <s v="IL"/>
    <n v="99999"/>
    <s v="USA"/>
    <s v="Cash"/>
    <x v="21"/>
    <x v="2"/>
    <n v="10"/>
    <n v="90"/>
    <x v="235"/>
    <n v="87.3"/>
  </r>
  <r>
    <n v="1303"/>
    <x v="118"/>
    <n v="26"/>
    <x v="14"/>
    <s v="789 26th Street"/>
    <x v="9"/>
    <x v="9"/>
    <n v="99999"/>
    <x v="0"/>
    <x v="5"/>
    <x v="3"/>
    <d v="2014-10-28T00:00:00"/>
    <s v="Shipping Company C"/>
    <s v="Run Liu"/>
    <s v="789 26th Street"/>
    <x v="9"/>
    <s v="FL"/>
    <n v="99999"/>
    <s v="USA"/>
    <s v="Credit Card"/>
    <x v="22"/>
    <x v="13"/>
    <n v="21.35"/>
    <n v="49"/>
    <x v="236"/>
    <n v="102.5227"/>
  </r>
  <r>
    <n v="1304"/>
    <x v="118"/>
    <n v="26"/>
    <x v="14"/>
    <s v="789 26th Street"/>
    <x v="9"/>
    <x v="9"/>
    <n v="99999"/>
    <x v="0"/>
    <x v="5"/>
    <x v="3"/>
    <d v="2014-10-28T00:00:00"/>
    <s v="Shipping Company C"/>
    <s v="Run Liu"/>
    <s v="789 26th Street"/>
    <x v="9"/>
    <s v="FL"/>
    <n v="99999"/>
    <s v="USA"/>
    <s v="Credit Card"/>
    <x v="8"/>
    <x v="4"/>
    <n v="9.65"/>
    <n v="71"/>
    <x v="237"/>
    <n v="65.7744"/>
  </r>
  <r>
    <n v="1305"/>
    <x v="118"/>
    <n v="26"/>
    <x v="14"/>
    <s v="789 26th Street"/>
    <x v="9"/>
    <x v="9"/>
    <n v="99999"/>
    <x v="0"/>
    <x v="5"/>
    <x v="3"/>
    <d v="2014-10-28T00:00:00"/>
    <s v="Shipping Company C"/>
    <s v="Run Liu"/>
    <s v="789 26th Street"/>
    <x v="9"/>
    <s v="FL"/>
    <n v="99999"/>
    <s v="USA"/>
    <s v="Credit Card"/>
    <x v="13"/>
    <x v="8"/>
    <n v="18.399999999999999"/>
    <n v="10"/>
    <x v="238"/>
    <n v="19.136000000000003"/>
  </r>
  <r>
    <n v="1306"/>
    <x v="119"/>
    <n v="29"/>
    <x v="4"/>
    <s v="789 29th Street"/>
    <x v="3"/>
    <x v="3"/>
    <n v="99999"/>
    <x v="0"/>
    <x v="3"/>
    <x v="0"/>
    <d v="2014-10-31T00:00:00"/>
    <s v="Shipping Company B"/>
    <s v="Soo Jung Lee"/>
    <s v="789 29th Street"/>
    <x v="3"/>
    <s v="CO"/>
    <n v="99999"/>
    <s v="USA"/>
    <s v="Check"/>
    <x v="0"/>
    <x v="0"/>
    <n v="14"/>
    <n v="78"/>
    <x v="239"/>
    <n v="112.476"/>
  </r>
  <r>
    <n v="1307"/>
    <x v="109"/>
    <n v="6"/>
    <x v="6"/>
    <s v="123 6th Street"/>
    <x v="5"/>
    <x v="5"/>
    <n v="99999"/>
    <x v="0"/>
    <x v="4"/>
    <x v="2"/>
    <d v="2014-10-08T00:00:00"/>
    <s v="Shipping Company C"/>
    <s v="Francisco Pérez-Olaeta"/>
    <s v="123 6th Street"/>
    <x v="5"/>
    <s v="WI"/>
    <n v="99999"/>
    <s v="USA"/>
    <s v="Check"/>
    <x v="7"/>
    <x v="3"/>
    <n v="12.75"/>
    <n v="44"/>
    <x v="134"/>
    <n v="53.856000000000002"/>
  </r>
  <r>
    <n v="1309"/>
    <x v="120"/>
    <n v="4"/>
    <x v="1"/>
    <s v="123 4th Street"/>
    <x v="1"/>
    <x v="1"/>
    <n v="99999"/>
    <x v="0"/>
    <x v="1"/>
    <x v="1"/>
    <d v="2014-10-06T00:00:00"/>
    <s v="Shipping Company A"/>
    <s v="Christina Lee"/>
    <s v="123 4th Street"/>
    <x v="1"/>
    <s v="NY"/>
    <n v="99999"/>
    <s v="USA"/>
    <s v="Credit Card"/>
    <x v="23"/>
    <x v="6"/>
    <n v="81"/>
    <n v="82"/>
    <x v="240"/>
    <n v="697.41000000000008"/>
  </r>
  <r>
    <n v="1310"/>
    <x v="120"/>
    <n v="4"/>
    <x v="1"/>
    <s v="123 4th Street"/>
    <x v="1"/>
    <x v="1"/>
    <n v="99999"/>
    <x v="0"/>
    <x v="1"/>
    <x v="1"/>
    <d v="2014-10-06T00:00:00"/>
    <s v="Shipping Company A"/>
    <s v="Christina Lee"/>
    <s v="123 4th Street"/>
    <x v="1"/>
    <s v="NY"/>
    <n v="99999"/>
    <s v="USA"/>
    <s v="Credit Card"/>
    <x v="24"/>
    <x v="14"/>
    <n v="7"/>
    <n v="29"/>
    <x v="241"/>
    <n v="20.3"/>
  </r>
  <r>
    <n v="1312"/>
    <x v="111"/>
    <n v="8"/>
    <x v="3"/>
    <s v="123 8th Street"/>
    <x v="2"/>
    <x v="2"/>
    <n v="99999"/>
    <x v="0"/>
    <x v="2"/>
    <x v="2"/>
    <d v="2014-10-10T00:00:00"/>
    <s v="Shipping Company C"/>
    <s v="Elizabeth Andersen"/>
    <s v="123 8th Street"/>
    <x v="2"/>
    <s v="OR"/>
    <n v="99999"/>
    <s v="USA"/>
    <s v="Credit Card"/>
    <x v="15"/>
    <x v="10"/>
    <n v="34.799999999999997"/>
    <n v="93"/>
    <x v="242"/>
    <n v="313.93079999999998"/>
  </r>
  <r>
    <n v="1315"/>
    <x v="121"/>
    <n v="3"/>
    <x v="5"/>
    <s v="123 3rd Street"/>
    <x v="4"/>
    <x v="4"/>
    <n v="99999"/>
    <x v="0"/>
    <x v="0"/>
    <x v="0"/>
    <d v="2014-10-05T00:00:00"/>
    <s v="Shipping Company B"/>
    <s v="Thomas Axerr"/>
    <s v="123 3rd Street"/>
    <x v="4"/>
    <s v="CA"/>
    <n v="99999"/>
    <s v="USA"/>
    <s v="Cash"/>
    <x v="16"/>
    <x v="7"/>
    <n v="10"/>
    <n v="11"/>
    <x v="243"/>
    <n v="11.440000000000001"/>
  </r>
  <r>
    <n v="1316"/>
    <x v="121"/>
    <n v="3"/>
    <x v="5"/>
    <s v="123 3rd Street"/>
    <x v="4"/>
    <x v="4"/>
    <n v="99999"/>
    <x v="0"/>
    <x v="0"/>
    <x v="0"/>
    <d v="2014-10-05T00:00:00"/>
    <s v="Shipping Company B"/>
    <s v="Thomas Axerr"/>
    <s v="123 3rd Street"/>
    <x v="4"/>
    <s v="CA"/>
    <n v="99999"/>
    <s v="USA"/>
    <s v="Cash"/>
    <x v="9"/>
    <x v="5"/>
    <n v="40"/>
    <n v="91"/>
    <x v="157"/>
    <n v="364"/>
  </r>
  <r>
    <n v="1320"/>
    <x v="112"/>
    <n v="10"/>
    <x v="8"/>
    <s v="123 10th Street"/>
    <x v="7"/>
    <x v="7"/>
    <n v="99999"/>
    <x v="0"/>
    <x v="6"/>
    <x v="1"/>
    <d v="2014-10-12T00:00:00"/>
    <s v="Shipping Company B"/>
    <s v="Roland Wacker"/>
    <s v="123 10th Street"/>
    <x v="7"/>
    <s v="IL"/>
    <n v="99999"/>
    <s v="USA"/>
    <s v="Credit Card"/>
    <x v="18"/>
    <x v="1"/>
    <n v="10"/>
    <n v="12"/>
    <x v="244"/>
    <n v="12.36"/>
  </r>
  <r>
    <n v="1322"/>
    <x v="112"/>
    <n v="10"/>
    <x v="8"/>
    <s v="123 10th Street"/>
    <x v="7"/>
    <x v="7"/>
    <n v="99999"/>
    <x v="0"/>
    <x v="6"/>
    <x v="1"/>
    <m/>
    <s v="Shipping Company A"/>
    <s v="Roland Wacker"/>
    <s v="123 10th Street"/>
    <x v="7"/>
    <s v="IL"/>
    <n v="99999"/>
    <s v="USA"/>
    <m/>
    <x v="1"/>
    <x v="1"/>
    <n v="3.5"/>
    <n v="78"/>
    <x v="214"/>
    <n v="27.3"/>
  </r>
  <r>
    <n v="1323"/>
    <x v="114"/>
    <n v="11"/>
    <x v="10"/>
    <s v="123 11th Street"/>
    <x v="9"/>
    <x v="9"/>
    <n v="99999"/>
    <x v="0"/>
    <x v="5"/>
    <x v="3"/>
    <m/>
    <s v="Shipping Company C"/>
    <s v="Peter Krschne"/>
    <s v="123 11th Street"/>
    <x v="9"/>
    <s v="FL"/>
    <n v="99999"/>
    <s v="USA"/>
    <m/>
    <x v="9"/>
    <x v="5"/>
    <n v="40"/>
    <n v="60"/>
    <x v="245"/>
    <n v="228"/>
  </r>
  <r>
    <n v="1324"/>
    <x v="115"/>
    <n v="1"/>
    <x v="11"/>
    <s v="123 1st Street"/>
    <x v="10"/>
    <x v="10"/>
    <n v="99999"/>
    <x v="0"/>
    <x v="2"/>
    <x v="2"/>
    <m/>
    <s v="Shipping Company C"/>
    <s v="Anna Bedecs"/>
    <s v="123 1st Street"/>
    <x v="10"/>
    <s v="WA"/>
    <n v="99999"/>
    <s v="USA"/>
    <m/>
    <x v="13"/>
    <x v="8"/>
    <n v="18.399999999999999"/>
    <n v="23"/>
    <x v="246"/>
    <n v="43.589600000000004"/>
  </r>
  <r>
    <n v="1325"/>
    <x v="110"/>
    <n v="28"/>
    <x v="7"/>
    <s v="789 28th Street"/>
    <x v="6"/>
    <x v="6"/>
    <n v="99999"/>
    <x v="0"/>
    <x v="5"/>
    <x v="3"/>
    <d v="2014-10-30T00:00:00"/>
    <s v="Shipping Company C"/>
    <s v="Amritansh Raghav"/>
    <s v="789 28th Street"/>
    <x v="6"/>
    <s v="TN"/>
    <n v="99999"/>
    <s v="USA"/>
    <s v="Credit Card"/>
    <x v="5"/>
    <x v="0"/>
    <n v="46"/>
    <n v="34"/>
    <x v="247"/>
    <n v="157.964"/>
  </r>
  <r>
    <n v="1326"/>
    <x v="116"/>
    <n v="9"/>
    <x v="12"/>
    <s v="123 9th Street"/>
    <x v="11"/>
    <x v="11"/>
    <n v="99999"/>
    <x v="0"/>
    <x v="7"/>
    <x v="0"/>
    <d v="2014-10-11T00:00:00"/>
    <s v="Shipping Company A"/>
    <s v="Sven Mortensen"/>
    <s v="123 9th Street"/>
    <x v="11"/>
    <s v="UT"/>
    <n v="99999"/>
    <s v="USA"/>
    <s v="Check"/>
    <x v="8"/>
    <x v="4"/>
    <n v="9.65"/>
    <n v="89"/>
    <x v="248"/>
    <n v="86.743850000000009"/>
  </r>
  <r>
    <n v="1327"/>
    <x v="109"/>
    <n v="6"/>
    <x v="6"/>
    <s v="123 6th Street"/>
    <x v="5"/>
    <x v="5"/>
    <n v="99999"/>
    <x v="0"/>
    <x v="4"/>
    <x v="2"/>
    <d v="2014-10-08T00:00:00"/>
    <s v="Shipping Company B"/>
    <s v="Francisco Pérez-Olaeta"/>
    <s v="123 6th Street"/>
    <x v="5"/>
    <s v="WI"/>
    <n v="99999"/>
    <s v="USA"/>
    <s v="Credit Card"/>
    <x v="7"/>
    <x v="3"/>
    <n v="12.75"/>
    <n v="82"/>
    <x v="249"/>
    <n v="103.50450000000001"/>
  </r>
  <r>
    <n v="1328"/>
    <x v="111"/>
    <n v="8"/>
    <x v="3"/>
    <s v="123 8th Street"/>
    <x v="2"/>
    <x v="2"/>
    <n v="99999"/>
    <x v="0"/>
    <x v="2"/>
    <x v="2"/>
    <d v="2014-10-10T00:00:00"/>
    <s v="Shipping Company B"/>
    <s v="Elizabeth Andersen"/>
    <s v="123 8th Street"/>
    <x v="2"/>
    <s v="OR"/>
    <n v="99999"/>
    <s v="USA"/>
    <s v="Check"/>
    <x v="7"/>
    <x v="3"/>
    <n v="12.75"/>
    <n v="43"/>
    <x v="250"/>
    <n v="52.631999999999998"/>
  </r>
  <r>
    <n v="1329"/>
    <x v="122"/>
    <n v="10"/>
    <x v="8"/>
    <s v="123 10th Street"/>
    <x v="7"/>
    <x v="7"/>
    <n v="99999"/>
    <x v="0"/>
    <x v="6"/>
    <x v="1"/>
    <d v="2014-11-12T00:00:00"/>
    <s v="Shipping Company A"/>
    <s v="Roland Wacker"/>
    <s v="123 10th Street"/>
    <x v="7"/>
    <s v="IL"/>
    <n v="99999"/>
    <s v="USA"/>
    <m/>
    <x v="12"/>
    <x v="7"/>
    <n v="22"/>
    <n v="96"/>
    <x v="251"/>
    <n v="221.76000000000002"/>
  </r>
  <r>
    <n v="1330"/>
    <x v="122"/>
    <n v="10"/>
    <x v="8"/>
    <s v="123 10th Street"/>
    <x v="7"/>
    <x v="7"/>
    <n v="99999"/>
    <x v="0"/>
    <x v="6"/>
    <x v="1"/>
    <d v="2014-11-12T00:00:00"/>
    <s v="Shipping Company A"/>
    <s v="Roland Wacker"/>
    <s v="123 10th Street"/>
    <x v="7"/>
    <s v="IL"/>
    <n v="99999"/>
    <s v="USA"/>
    <m/>
    <x v="6"/>
    <x v="2"/>
    <n v="9.1999999999999993"/>
    <n v="34"/>
    <x v="252"/>
    <n v="31.279999999999998"/>
  </r>
  <r>
    <n v="1331"/>
    <x v="123"/>
    <n v="11"/>
    <x v="10"/>
    <s v="123 11th Street"/>
    <x v="9"/>
    <x v="9"/>
    <n v="99999"/>
    <x v="0"/>
    <x v="5"/>
    <x v="3"/>
    <m/>
    <s v="Shipping Company C"/>
    <s v="Peter Krschne"/>
    <s v="123 11th Street"/>
    <x v="9"/>
    <s v="FL"/>
    <n v="99999"/>
    <s v="USA"/>
    <m/>
    <x v="1"/>
    <x v="1"/>
    <n v="3.5"/>
    <n v="42"/>
    <x v="253"/>
    <n v="15.141000000000002"/>
  </r>
  <r>
    <n v="1332"/>
    <x v="123"/>
    <n v="11"/>
    <x v="10"/>
    <s v="123 11th Street"/>
    <x v="9"/>
    <x v="9"/>
    <n v="99999"/>
    <x v="0"/>
    <x v="5"/>
    <x v="3"/>
    <m/>
    <s v="Shipping Company C"/>
    <s v="Peter Krschne"/>
    <s v="123 11th Street"/>
    <x v="9"/>
    <s v="FL"/>
    <n v="99999"/>
    <s v="USA"/>
    <m/>
    <x v="10"/>
    <x v="0"/>
    <n v="2.99"/>
    <n v="100"/>
    <x v="254"/>
    <n v="30.498000000000001"/>
  </r>
  <r>
    <n v="1333"/>
    <x v="124"/>
    <n v="1"/>
    <x v="11"/>
    <s v="123 1st Street"/>
    <x v="10"/>
    <x v="10"/>
    <n v="99999"/>
    <x v="0"/>
    <x v="2"/>
    <x v="2"/>
    <m/>
    <m/>
    <s v="Anna Bedecs"/>
    <s v="123 1st Street"/>
    <x v="10"/>
    <s v="WA"/>
    <n v="99999"/>
    <s v="USA"/>
    <m/>
    <x v="4"/>
    <x v="0"/>
    <n v="18"/>
    <n v="42"/>
    <x v="21"/>
    <n v="76.356000000000009"/>
  </r>
  <r>
    <n v="1334"/>
    <x v="124"/>
    <n v="1"/>
    <x v="11"/>
    <s v="123 1st Street"/>
    <x v="10"/>
    <x v="10"/>
    <n v="99999"/>
    <x v="0"/>
    <x v="2"/>
    <x v="2"/>
    <m/>
    <m/>
    <s v="Anna Bedecs"/>
    <s v="123 1st Street"/>
    <x v="10"/>
    <s v="WA"/>
    <n v="99999"/>
    <s v="USA"/>
    <m/>
    <x v="5"/>
    <x v="0"/>
    <n v="46"/>
    <n v="16"/>
    <x v="129"/>
    <n v="70.656000000000006"/>
  </r>
  <r>
    <n v="1335"/>
    <x v="124"/>
    <n v="1"/>
    <x v="11"/>
    <s v="123 1st Street"/>
    <x v="10"/>
    <x v="10"/>
    <n v="99999"/>
    <x v="0"/>
    <x v="2"/>
    <x v="2"/>
    <m/>
    <m/>
    <s v="Anna Bedecs"/>
    <s v="123 1st Street"/>
    <x v="10"/>
    <s v="WA"/>
    <n v="99999"/>
    <s v="USA"/>
    <m/>
    <x v="10"/>
    <x v="0"/>
    <n v="2.99"/>
    <n v="22"/>
    <x v="255"/>
    <n v="6.3806599999999998"/>
  </r>
  <r>
    <n v="1336"/>
    <x v="125"/>
    <n v="28"/>
    <x v="7"/>
    <s v="789 28th Street"/>
    <x v="6"/>
    <x v="6"/>
    <n v="99999"/>
    <x v="0"/>
    <x v="5"/>
    <x v="3"/>
    <d v="2014-11-30T00:00:00"/>
    <s v="Shipping Company C"/>
    <s v="Amritansh Raghav"/>
    <s v="789 28th Street"/>
    <x v="6"/>
    <s v="TN"/>
    <n v="99999"/>
    <s v="USA"/>
    <s v="Credit Card"/>
    <x v="8"/>
    <x v="4"/>
    <n v="9.65"/>
    <n v="46"/>
    <x v="256"/>
    <n v="45.721700000000006"/>
  </r>
  <r>
    <n v="1337"/>
    <x v="125"/>
    <n v="28"/>
    <x v="7"/>
    <s v="789 28th Street"/>
    <x v="6"/>
    <x v="6"/>
    <n v="99999"/>
    <x v="0"/>
    <x v="5"/>
    <x v="3"/>
    <n v="41973"/>
    <s v="Shipping Company C"/>
    <s v="Amritansh Raghav"/>
    <s v="789 28th Street"/>
    <x v="6"/>
    <s v="TN"/>
    <n v="99999"/>
    <s v="USA"/>
    <s v="Credit Card"/>
    <x v="13"/>
    <x v="8"/>
    <n v="18.399999999999999"/>
    <n v="100"/>
    <x v="257"/>
    <n v="184"/>
  </r>
  <r>
    <n v="1338"/>
    <x v="126"/>
    <n v="9"/>
    <x v="12"/>
    <s v="123 9th Street"/>
    <x v="11"/>
    <x v="11"/>
    <n v="99999"/>
    <x v="0"/>
    <x v="7"/>
    <x v="0"/>
    <n v="41954"/>
    <s v="Shipping Company A"/>
    <s v="Sven Mortensen"/>
    <s v="123 9th Street"/>
    <x v="11"/>
    <s v="UT"/>
    <n v="99999"/>
    <s v="USA"/>
    <s v="Check"/>
    <x v="14"/>
    <x v="9"/>
    <n v="19.5"/>
    <n v="87"/>
    <x v="258"/>
    <n v="174.73950000000002"/>
  </r>
  <r>
    <n v="1339"/>
    <x v="126"/>
    <n v="9"/>
    <x v="12"/>
    <s v="123 9th Street"/>
    <x v="11"/>
    <x v="11"/>
    <n v="99999"/>
    <x v="0"/>
    <x v="7"/>
    <x v="0"/>
    <n v="41954"/>
    <s v="Shipping Company A"/>
    <s v="Sven Mortensen"/>
    <s v="123 9th Street"/>
    <x v="11"/>
    <s v="UT"/>
    <n v="99999"/>
    <s v="USA"/>
    <s v="Check"/>
    <x v="15"/>
    <x v="10"/>
    <n v="34.799999999999997"/>
    <n v="58"/>
    <x v="259"/>
    <n v="205.8768"/>
  </r>
  <r>
    <n v="1340"/>
    <x v="127"/>
    <n v="6"/>
    <x v="6"/>
    <s v="123 6th Street"/>
    <x v="5"/>
    <x v="5"/>
    <n v="99999"/>
    <x v="0"/>
    <x v="4"/>
    <x v="2"/>
    <n v="41951"/>
    <s v="Shipping Company B"/>
    <s v="Francisco Pérez-Olaeta"/>
    <s v="123 6th Street"/>
    <x v="5"/>
    <s v="WI"/>
    <n v="99999"/>
    <s v="USA"/>
    <s v="Credit Card"/>
    <x v="0"/>
    <x v="0"/>
    <n v="14"/>
    <n v="85"/>
    <x v="260"/>
    <n v="120.19"/>
  </r>
  <r>
    <n v="1341"/>
    <x v="128"/>
    <n v="8"/>
    <x v="3"/>
    <s v="123 8th Street"/>
    <x v="2"/>
    <x v="2"/>
    <n v="99999"/>
    <x v="0"/>
    <x v="2"/>
    <x v="2"/>
    <n v="41953"/>
    <s v="Shipping Company B"/>
    <s v="Elizabeth Andersen"/>
    <s v="123 8th Street"/>
    <x v="2"/>
    <s v="OR"/>
    <n v="99999"/>
    <s v="USA"/>
    <s v="Check"/>
    <x v="9"/>
    <x v="5"/>
    <n v="40"/>
    <n v="28"/>
    <x v="139"/>
    <n v="110.88"/>
  </r>
  <r>
    <n v="1342"/>
    <x v="128"/>
    <n v="8"/>
    <x v="3"/>
    <s v="123 8th Street"/>
    <x v="2"/>
    <x v="2"/>
    <n v="99999"/>
    <x v="0"/>
    <x v="2"/>
    <x v="2"/>
    <d v="2014-11-10T00:00:00"/>
    <s v="Shipping Company B"/>
    <s v="Elizabeth Andersen"/>
    <s v="123 8th Street"/>
    <x v="2"/>
    <s v="OR"/>
    <n v="99999"/>
    <s v="USA"/>
    <s v="Check"/>
    <x v="6"/>
    <x v="2"/>
    <n v="9.1999999999999993"/>
    <n v="19"/>
    <x v="261"/>
    <n v="17.130400000000002"/>
  </r>
  <r>
    <n v="1343"/>
    <x v="129"/>
    <n v="25"/>
    <x v="13"/>
    <s v="789 25th Street"/>
    <x v="7"/>
    <x v="7"/>
    <n v="99999"/>
    <x v="0"/>
    <x v="6"/>
    <x v="1"/>
    <d v="2014-11-27T00:00:00"/>
    <s v="Shipping Company A"/>
    <s v="John Rodman"/>
    <s v="789 25th Street"/>
    <x v="7"/>
    <s v="IL"/>
    <n v="99999"/>
    <s v="USA"/>
    <s v="Cash"/>
    <x v="21"/>
    <x v="2"/>
    <n v="10"/>
    <n v="99"/>
    <x v="82"/>
    <n v="102.96000000000001"/>
  </r>
  <r>
    <n v="1344"/>
    <x v="130"/>
    <n v="26"/>
    <x v="14"/>
    <s v="789 26th Street"/>
    <x v="9"/>
    <x v="9"/>
    <n v="99999"/>
    <x v="0"/>
    <x v="5"/>
    <x v="3"/>
    <d v="2014-11-28T00:00:00"/>
    <s v="Shipping Company C"/>
    <s v="Run Liu"/>
    <s v="789 26th Street"/>
    <x v="9"/>
    <s v="FL"/>
    <n v="99999"/>
    <s v="USA"/>
    <s v="Credit Card"/>
    <x v="22"/>
    <x v="13"/>
    <n v="21.35"/>
    <n v="69"/>
    <x v="262"/>
    <n v="153.20760000000004"/>
  </r>
  <r>
    <n v="1345"/>
    <x v="130"/>
    <n v="26"/>
    <x v="14"/>
    <s v="789 26th Street"/>
    <x v="9"/>
    <x v="9"/>
    <n v="99999"/>
    <x v="0"/>
    <x v="5"/>
    <x v="3"/>
    <d v="2014-11-28T00:00:00"/>
    <s v="Shipping Company C"/>
    <s v="Run Liu"/>
    <s v="789 26th Street"/>
    <x v="9"/>
    <s v="FL"/>
    <n v="99999"/>
    <s v="USA"/>
    <s v="Credit Card"/>
    <x v="8"/>
    <x v="4"/>
    <n v="9.65"/>
    <n v="37"/>
    <x v="263"/>
    <n v="33.919750000000001"/>
  </r>
  <r>
    <n v="1346"/>
    <x v="130"/>
    <n v="26"/>
    <x v="14"/>
    <s v="789 26th Street"/>
    <x v="9"/>
    <x v="9"/>
    <n v="99999"/>
    <x v="0"/>
    <x v="5"/>
    <x v="3"/>
    <d v="2014-11-28T00:00:00"/>
    <s v="Shipping Company C"/>
    <s v="Run Liu"/>
    <s v="789 26th Street"/>
    <x v="9"/>
    <s v="FL"/>
    <n v="99999"/>
    <s v="USA"/>
    <s v="Credit Card"/>
    <x v="13"/>
    <x v="8"/>
    <n v="18.399999999999999"/>
    <n v="64"/>
    <x v="107"/>
    <n v="118.93759999999999"/>
  </r>
  <r>
    <n v="1347"/>
    <x v="131"/>
    <n v="29"/>
    <x v="4"/>
    <s v="789 29th Street"/>
    <x v="3"/>
    <x v="3"/>
    <n v="99999"/>
    <x v="0"/>
    <x v="3"/>
    <x v="0"/>
    <d v="2014-12-01T00:00:00"/>
    <s v="Shipping Company B"/>
    <s v="Soo Jung Lee"/>
    <s v="789 29th Street"/>
    <x v="3"/>
    <s v="CO"/>
    <n v="99999"/>
    <s v="USA"/>
    <s v="Check"/>
    <x v="0"/>
    <x v="0"/>
    <n v="14"/>
    <n v="38"/>
    <x v="197"/>
    <n v="55.328000000000003"/>
  </r>
  <r>
    <n v="1348"/>
    <x v="127"/>
    <n v="6"/>
    <x v="6"/>
    <s v="123 6th Street"/>
    <x v="5"/>
    <x v="5"/>
    <n v="99999"/>
    <x v="0"/>
    <x v="4"/>
    <x v="2"/>
    <d v="2014-11-08T00:00:00"/>
    <s v="Shipping Company C"/>
    <s v="Francisco Pérez-Olaeta"/>
    <s v="123 6th Street"/>
    <x v="5"/>
    <s v="WI"/>
    <n v="99999"/>
    <s v="USA"/>
    <s v="Check"/>
    <x v="7"/>
    <x v="3"/>
    <n v="12.75"/>
    <n v="15"/>
    <x v="264"/>
    <n v="18.55125"/>
  </r>
  <r>
    <n v="1350"/>
    <x v="132"/>
    <n v="4"/>
    <x v="1"/>
    <s v="123 4th Street"/>
    <x v="1"/>
    <x v="1"/>
    <n v="99999"/>
    <x v="0"/>
    <x v="1"/>
    <x v="1"/>
    <d v="2014-11-06T00:00:00"/>
    <s v="Shipping Company A"/>
    <s v="Christina Lee"/>
    <s v="123 4th Street"/>
    <x v="1"/>
    <s v="NY"/>
    <n v="99999"/>
    <s v="USA"/>
    <s v="Credit Card"/>
    <x v="23"/>
    <x v="6"/>
    <n v="81"/>
    <n v="52"/>
    <x v="265"/>
    <n v="412.77600000000001"/>
  </r>
  <r>
    <n v="1351"/>
    <x v="132"/>
    <n v="4"/>
    <x v="1"/>
    <s v="123 4th Street"/>
    <x v="1"/>
    <x v="1"/>
    <n v="99999"/>
    <x v="0"/>
    <x v="1"/>
    <x v="1"/>
    <d v="2014-11-06T00:00:00"/>
    <s v="Shipping Company A"/>
    <s v="Christina Lee"/>
    <s v="123 4th Street"/>
    <x v="1"/>
    <s v="NY"/>
    <n v="99999"/>
    <s v="USA"/>
    <s v="Credit Card"/>
    <x v="24"/>
    <x v="14"/>
    <n v="7"/>
    <n v="37"/>
    <x v="58"/>
    <n v="25.382000000000001"/>
  </r>
  <r>
    <n v="1353"/>
    <x v="128"/>
    <n v="8"/>
    <x v="3"/>
    <s v="123 8th Street"/>
    <x v="2"/>
    <x v="2"/>
    <n v="99999"/>
    <x v="0"/>
    <x v="2"/>
    <x v="2"/>
    <d v="2014-11-10T00:00:00"/>
    <s v="Shipping Company C"/>
    <s v="Elizabeth Andersen"/>
    <s v="123 8th Street"/>
    <x v="2"/>
    <s v="OR"/>
    <n v="99999"/>
    <s v="USA"/>
    <s v="Credit Card"/>
    <x v="15"/>
    <x v="10"/>
    <n v="34.799999999999997"/>
    <n v="24"/>
    <x v="266"/>
    <n v="80.179199999999994"/>
  </r>
  <r>
    <n v="1356"/>
    <x v="133"/>
    <n v="3"/>
    <x v="5"/>
    <s v="123 3rd Street"/>
    <x v="4"/>
    <x v="4"/>
    <n v="99999"/>
    <x v="0"/>
    <x v="0"/>
    <x v="0"/>
    <d v="2014-11-05T00:00:00"/>
    <s v="Shipping Company B"/>
    <s v="Thomas Axerr"/>
    <s v="123 3rd Street"/>
    <x v="4"/>
    <s v="CA"/>
    <n v="99999"/>
    <s v="USA"/>
    <s v="Cash"/>
    <x v="16"/>
    <x v="7"/>
    <n v="10"/>
    <n v="36"/>
    <x v="267"/>
    <n v="37.08"/>
  </r>
  <r>
    <n v="1357"/>
    <x v="133"/>
    <n v="3"/>
    <x v="5"/>
    <s v="123 3rd Street"/>
    <x v="4"/>
    <x v="4"/>
    <n v="99999"/>
    <x v="0"/>
    <x v="0"/>
    <x v="0"/>
    <d v="2014-11-05T00:00:00"/>
    <s v="Shipping Company B"/>
    <s v="Thomas Axerr"/>
    <s v="123 3rd Street"/>
    <x v="4"/>
    <s v="CA"/>
    <n v="99999"/>
    <s v="USA"/>
    <s v="Cash"/>
    <x v="9"/>
    <x v="5"/>
    <n v="40"/>
    <n v="24"/>
    <x v="268"/>
    <n v="96"/>
  </r>
  <r>
    <n v="1361"/>
    <x v="122"/>
    <n v="10"/>
    <x v="8"/>
    <s v="123 10th Street"/>
    <x v="7"/>
    <x v="7"/>
    <n v="99999"/>
    <x v="0"/>
    <x v="6"/>
    <x v="1"/>
    <d v="2014-11-12T00:00:00"/>
    <s v="Shipping Company B"/>
    <s v="Roland Wacker"/>
    <s v="123 10th Street"/>
    <x v="7"/>
    <s v="IL"/>
    <n v="99999"/>
    <s v="USA"/>
    <s v="Credit Card"/>
    <x v="18"/>
    <x v="1"/>
    <n v="10"/>
    <n v="20"/>
    <x v="269"/>
    <n v="20"/>
  </r>
  <r>
    <n v="1363"/>
    <x v="122"/>
    <n v="10"/>
    <x v="8"/>
    <s v="123 10th Street"/>
    <x v="7"/>
    <x v="7"/>
    <n v="99999"/>
    <x v="0"/>
    <x v="6"/>
    <x v="1"/>
    <m/>
    <s v="Shipping Company A"/>
    <s v="Roland Wacker"/>
    <s v="123 10th Street"/>
    <x v="7"/>
    <s v="IL"/>
    <n v="99999"/>
    <s v="USA"/>
    <m/>
    <x v="1"/>
    <x v="1"/>
    <n v="3.5"/>
    <n v="11"/>
    <x v="4"/>
    <n v="3.7345000000000002"/>
  </r>
  <r>
    <n v="1364"/>
    <x v="123"/>
    <n v="11"/>
    <x v="10"/>
    <s v="123 11th Street"/>
    <x v="9"/>
    <x v="9"/>
    <n v="99999"/>
    <x v="0"/>
    <x v="5"/>
    <x v="3"/>
    <m/>
    <s v="Shipping Company C"/>
    <s v="Peter Krschne"/>
    <s v="123 11th Street"/>
    <x v="9"/>
    <s v="FL"/>
    <n v="99999"/>
    <s v="USA"/>
    <m/>
    <x v="9"/>
    <x v="5"/>
    <n v="40"/>
    <n v="78"/>
    <x v="189"/>
    <n v="299.52"/>
  </r>
  <r>
    <n v="1365"/>
    <x v="124"/>
    <n v="1"/>
    <x v="11"/>
    <s v="123 1st Street"/>
    <x v="10"/>
    <x v="10"/>
    <n v="99999"/>
    <x v="0"/>
    <x v="2"/>
    <x v="2"/>
    <m/>
    <s v="Shipping Company C"/>
    <s v="Anna Bedecs"/>
    <s v="123 1st Street"/>
    <x v="10"/>
    <s v="WA"/>
    <n v="99999"/>
    <s v="USA"/>
    <m/>
    <x v="13"/>
    <x v="8"/>
    <n v="18.399999999999999"/>
    <n v="76"/>
    <x v="270"/>
    <n v="144.0352"/>
  </r>
  <r>
    <n v="1366"/>
    <x v="125"/>
    <n v="28"/>
    <x v="7"/>
    <s v="789 28th Street"/>
    <x v="6"/>
    <x v="6"/>
    <n v="99999"/>
    <x v="0"/>
    <x v="5"/>
    <x v="3"/>
    <d v="2014-11-30T00:00:00"/>
    <s v="Shipping Company C"/>
    <s v="Amritansh Raghav"/>
    <s v="789 28th Street"/>
    <x v="6"/>
    <s v="TN"/>
    <n v="99999"/>
    <s v="USA"/>
    <s v="Credit Card"/>
    <x v="5"/>
    <x v="0"/>
    <n v="46"/>
    <n v="57"/>
    <x v="271"/>
    <n v="272.68799999999999"/>
  </r>
  <r>
    <n v="1367"/>
    <x v="126"/>
    <n v="9"/>
    <x v="12"/>
    <s v="123 9th Street"/>
    <x v="11"/>
    <x v="11"/>
    <n v="99999"/>
    <x v="0"/>
    <x v="7"/>
    <x v="0"/>
    <d v="2014-11-11T00:00:00"/>
    <s v="Shipping Company A"/>
    <s v="Sven Mortensen"/>
    <s v="123 9th Street"/>
    <x v="11"/>
    <s v="UT"/>
    <n v="99999"/>
    <s v="USA"/>
    <s v="Check"/>
    <x v="8"/>
    <x v="4"/>
    <n v="9.65"/>
    <n v="14"/>
    <x v="272"/>
    <n v="12.9696"/>
  </r>
  <r>
    <n v="1368"/>
    <x v="134"/>
    <n v="27"/>
    <x v="0"/>
    <s v="789 27th Street"/>
    <x v="0"/>
    <x v="0"/>
    <n v="99999"/>
    <x v="0"/>
    <x v="0"/>
    <x v="0"/>
    <d v="2014-12-29T00:00:00"/>
    <s v="Shipping Company B"/>
    <s v="Karen Toh"/>
    <s v="789 27th Street"/>
    <x v="0"/>
    <s v="NV"/>
    <n v="99999"/>
    <s v="USA"/>
    <s v="Check"/>
    <x v="0"/>
    <x v="0"/>
    <n v="14"/>
    <n v="14"/>
    <x v="273"/>
    <n v="19.796000000000003"/>
  </r>
  <r>
    <n v="1369"/>
    <x v="134"/>
    <n v="27"/>
    <x v="0"/>
    <s v="789 27th Street"/>
    <x v="0"/>
    <x v="0"/>
    <n v="99999"/>
    <x v="0"/>
    <x v="0"/>
    <x v="0"/>
    <d v="2014-12-29T00:00:00"/>
    <s v="Shipping Company B"/>
    <s v="Karen Toh"/>
    <s v="789 27th Street"/>
    <x v="0"/>
    <s v="NV"/>
    <n v="99999"/>
    <s v="USA"/>
    <s v="Check"/>
    <x v="1"/>
    <x v="1"/>
    <n v="3.5"/>
    <n v="70"/>
    <x v="274"/>
    <n v="25.234999999999999"/>
  </r>
  <r>
    <n v="1370"/>
    <x v="135"/>
    <n v="4"/>
    <x v="1"/>
    <s v="123 4th Street"/>
    <x v="1"/>
    <x v="1"/>
    <n v="99999"/>
    <x v="0"/>
    <x v="1"/>
    <x v="1"/>
    <d v="2014-12-06T00:00:00"/>
    <s v="Shipping Company A"/>
    <s v="Christina Lee"/>
    <s v="123 4th Street"/>
    <x v="1"/>
    <s v="NY"/>
    <n v="99999"/>
    <s v="USA"/>
    <s v="Credit Card"/>
    <x v="2"/>
    <x v="1"/>
    <n v="30"/>
    <n v="100"/>
    <x v="275"/>
    <n v="291"/>
  </r>
  <r>
    <n v="1371"/>
    <x v="135"/>
    <n v="4"/>
    <x v="1"/>
    <s v="123 4th Street"/>
    <x v="1"/>
    <x v="1"/>
    <n v="99999"/>
    <x v="0"/>
    <x v="1"/>
    <x v="1"/>
    <d v="2014-12-06T00:00:00"/>
    <s v="Shipping Company A"/>
    <s v="Christina Lee"/>
    <s v="123 4th Street"/>
    <x v="1"/>
    <s v="NY"/>
    <n v="99999"/>
    <s v="USA"/>
    <s v="Credit Card"/>
    <x v="3"/>
    <x v="1"/>
    <n v="53"/>
    <n v="27"/>
    <x v="276"/>
    <n v="143.1"/>
  </r>
  <r>
    <n v="1372"/>
    <x v="135"/>
    <n v="4"/>
    <x v="1"/>
    <s v="123 4th Street"/>
    <x v="1"/>
    <x v="1"/>
    <n v="99999"/>
    <x v="0"/>
    <x v="1"/>
    <x v="1"/>
    <d v="2014-12-06T00:00:00"/>
    <s v="Shipping Company A"/>
    <s v="Christina Lee"/>
    <s v="123 4th Street"/>
    <x v="1"/>
    <s v="NY"/>
    <n v="99999"/>
    <s v="USA"/>
    <s v="Credit Card"/>
    <x v="1"/>
    <x v="1"/>
    <n v="3.5"/>
    <n v="70"/>
    <x v="274"/>
    <n v="24.009999999999998"/>
  </r>
  <r>
    <n v="1373"/>
    <x v="136"/>
    <n v="12"/>
    <x v="2"/>
    <s v="123 12th Street"/>
    <x v="0"/>
    <x v="0"/>
    <n v="99999"/>
    <x v="0"/>
    <x v="0"/>
    <x v="0"/>
    <d v="2014-12-14T00:00:00"/>
    <s v="Shipping Company B"/>
    <s v="John Edwards"/>
    <s v="123 12th Street"/>
    <x v="0"/>
    <s v="NV"/>
    <n v="99999"/>
    <s v="USA"/>
    <s v="Credit Card"/>
    <x v="4"/>
    <x v="0"/>
    <n v="18"/>
    <n v="57"/>
    <x v="277"/>
    <n v="102.60000000000001"/>
  </r>
  <r>
    <n v="1374"/>
    <x v="136"/>
    <n v="12"/>
    <x v="2"/>
    <s v="123 12th Street"/>
    <x v="0"/>
    <x v="0"/>
    <n v="99999"/>
    <x v="0"/>
    <x v="0"/>
    <x v="0"/>
    <d v="2014-12-14T00:00:00"/>
    <s v="Shipping Company B"/>
    <s v="John Edwards"/>
    <s v="123 12th Street"/>
    <x v="0"/>
    <s v="NV"/>
    <n v="99999"/>
    <s v="USA"/>
    <s v="Credit Card"/>
    <x v="5"/>
    <x v="0"/>
    <n v="46"/>
    <n v="83"/>
    <x v="278"/>
    <n v="374.16399999999999"/>
  </r>
  <r>
    <n v="1375"/>
    <x v="137"/>
    <n v="8"/>
    <x v="3"/>
    <s v="123 8th Street"/>
    <x v="2"/>
    <x v="2"/>
    <n v="99999"/>
    <x v="0"/>
    <x v="2"/>
    <x v="2"/>
    <d v="2014-12-10T00:00:00"/>
    <s v="Shipping Company C"/>
    <s v="Elizabeth Andersen"/>
    <s v="123 8th Street"/>
    <x v="2"/>
    <s v="OR"/>
    <n v="99999"/>
    <s v="USA"/>
    <s v="Credit Card"/>
    <x v="6"/>
    <x v="2"/>
    <n v="9.1999999999999993"/>
    <n v="76"/>
    <x v="279"/>
    <n v="67.123199999999997"/>
  </r>
  <r>
    <n v="1376"/>
    <x v="135"/>
    <n v="4"/>
    <x v="1"/>
    <s v="123 4th Street"/>
    <x v="1"/>
    <x v="1"/>
    <n v="99999"/>
    <x v="0"/>
    <x v="1"/>
    <x v="1"/>
    <n v="41979"/>
    <s v="Shipping Company C"/>
    <s v="Christina Lee"/>
    <s v="123 4th Street"/>
    <x v="1"/>
    <s v="NY"/>
    <n v="99999"/>
    <s v="USA"/>
    <s v="Check"/>
    <x v="6"/>
    <x v="2"/>
    <n v="9.1999999999999993"/>
    <n v="80"/>
    <x v="129"/>
    <n v="72.864000000000004"/>
  </r>
  <r>
    <n v="1377"/>
    <x v="138"/>
    <n v="29"/>
    <x v="4"/>
    <s v="789 29th Street"/>
    <x v="3"/>
    <x v="3"/>
    <n v="99999"/>
    <x v="0"/>
    <x v="3"/>
    <x v="0"/>
    <n v="42004"/>
    <s v="Shipping Company B"/>
    <s v="Soo Jung Lee"/>
    <s v="789 29th Street"/>
    <x v="3"/>
    <s v="CO"/>
    <n v="99999"/>
    <s v="USA"/>
    <s v="Check"/>
    <x v="7"/>
    <x v="3"/>
    <n v="12.75"/>
    <n v="47"/>
    <x v="13"/>
    <n v="59.325750000000006"/>
  </r>
  <r>
    <n v="1378"/>
    <x v="139"/>
    <n v="3"/>
    <x v="5"/>
    <s v="123 3rd Street"/>
    <x v="4"/>
    <x v="4"/>
    <n v="99999"/>
    <x v="0"/>
    <x v="0"/>
    <x v="0"/>
    <n v="41978"/>
    <s v="Shipping Company B"/>
    <s v="Thomas Axerr"/>
    <s v="123 3rd Street"/>
    <x v="4"/>
    <s v="CA"/>
    <n v="99999"/>
    <s v="USA"/>
    <s v="Cash"/>
    <x v="8"/>
    <x v="4"/>
    <n v="9.65"/>
    <n v="96"/>
    <x v="280"/>
    <n v="94.492800000000017"/>
  </r>
  <r>
    <n v="1379"/>
    <x v="140"/>
    <n v="6"/>
    <x v="6"/>
    <s v="123 6th Street"/>
    <x v="5"/>
    <x v="5"/>
    <n v="99999"/>
    <x v="0"/>
    <x v="4"/>
    <x v="2"/>
    <n v="41981"/>
    <s v="Shipping Company B"/>
    <s v="Francisco Pérez-Olaeta"/>
    <s v="123 6th Street"/>
    <x v="5"/>
    <s v="WI"/>
    <n v="99999"/>
    <s v="USA"/>
    <s v="Credit Card"/>
    <x v="9"/>
    <x v="5"/>
    <n v="40"/>
    <n v="32"/>
    <x v="11"/>
    <n v="134.4"/>
  </r>
  <r>
    <n v="1380"/>
    <x v="141"/>
    <n v="28"/>
    <x v="7"/>
    <s v="789 28th Street"/>
    <x v="6"/>
    <x v="6"/>
    <n v="99999"/>
    <x v="0"/>
    <x v="5"/>
    <x v="3"/>
    <d v="2014-12-30T00:00:00"/>
    <s v="Shipping Company C"/>
    <s v="Amritansh Raghav"/>
    <s v="789 28th Street"/>
    <x v="6"/>
    <s v="TN"/>
    <n v="99999"/>
    <s v="USA"/>
    <s v="Check"/>
    <x v="5"/>
    <x v="0"/>
    <n v="46"/>
    <n v="16"/>
    <x v="129"/>
    <n v="73.600000000000009"/>
  </r>
  <r>
    <n v="1381"/>
    <x v="137"/>
    <n v="8"/>
    <x v="3"/>
    <s v="123 8th Street"/>
    <x v="2"/>
    <x v="2"/>
    <n v="99999"/>
    <x v="0"/>
    <x v="2"/>
    <x v="2"/>
    <d v="2014-12-10T00:00:00"/>
    <s v="Shipping Company C"/>
    <s v="Elizabeth Andersen"/>
    <s v="123 8th Street"/>
    <x v="2"/>
    <s v="OR"/>
    <n v="99999"/>
    <s v="USA"/>
    <s v="Check"/>
    <x v="7"/>
    <x v="3"/>
    <n v="12.75"/>
    <n v="41"/>
    <x v="87"/>
    <n v="51.229500000000002"/>
  </r>
  <r>
    <n v="1382"/>
    <x v="142"/>
    <n v="10"/>
    <x v="8"/>
    <s v="123 10th Street"/>
    <x v="7"/>
    <x v="7"/>
    <n v="99999"/>
    <x v="0"/>
    <x v="6"/>
    <x v="1"/>
    <d v="2014-12-12T00:00:00"/>
    <s v="Shipping Company B"/>
    <s v="Roland Wacker"/>
    <s v="123 10th Street"/>
    <x v="7"/>
    <s v="IL"/>
    <n v="99999"/>
    <s v="USA"/>
    <s v="Credit Card"/>
    <x v="10"/>
    <x v="0"/>
    <n v="2.99"/>
    <n v="41"/>
    <x v="281"/>
    <n v="12.871950000000002"/>
  </r>
  <r>
    <n v="1383"/>
    <x v="143"/>
    <n v="7"/>
    <x v="9"/>
    <s v="123 7th Street"/>
    <x v="8"/>
    <x v="8"/>
    <n v="99999"/>
    <x v="0"/>
    <x v="2"/>
    <x v="2"/>
    <m/>
    <m/>
    <s v="Ming-Yang Xie"/>
    <s v="123 7th Street"/>
    <x v="8"/>
    <s v="ID"/>
    <n v="99999"/>
    <s v="USA"/>
    <m/>
    <x v="5"/>
    <x v="0"/>
    <n v="46"/>
    <n v="41"/>
    <x v="282"/>
    <n v="194.25800000000004"/>
  </r>
  <r>
    <n v="1384"/>
    <x v="142"/>
    <n v="10"/>
    <x v="8"/>
    <s v="123 10th Street"/>
    <x v="7"/>
    <x v="7"/>
    <n v="99999"/>
    <x v="0"/>
    <x v="6"/>
    <x v="1"/>
    <d v="2014-12-12T00:00:00"/>
    <s v="Shipping Company A"/>
    <s v="Roland Wacker"/>
    <s v="123 10th Street"/>
    <x v="7"/>
    <s v="IL"/>
    <n v="99999"/>
    <s v="USA"/>
    <m/>
    <x v="11"/>
    <x v="6"/>
    <n v="25"/>
    <n v="94"/>
    <x v="283"/>
    <n v="235"/>
  </r>
  <r>
    <n v="1385"/>
    <x v="142"/>
    <n v="10"/>
    <x v="8"/>
    <s v="123 10th Street"/>
    <x v="7"/>
    <x v="7"/>
    <n v="99999"/>
    <x v="0"/>
    <x v="6"/>
    <x v="1"/>
    <d v="2014-12-12T00:00:00"/>
    <s v="Shipping Company A"/>
    <s v="Roland Wacker"/>
    <s v="123 10th Street"/>
    <x v="7"/>
    <s v="IL"/>
    <n v="99999"/>
    <s v="USA"/>
    <m/>
    <x v="12"/>
    <x v="7"/>
    <n v="22"/>
    <n v="20"/>
    <x v="284"/>
    <n v="46.2"/>
  </r>
  <r>
    <n v="1386"/>
    <x v="142"/>
    <n v="10"/>
    <x v="8"/>
    <s v="123 10th Street"/>
    <x v="7"/>
    <x v="7"/>
    <n v="99999"/>
    <x v="0"/>
    <x v="6"/>
    <x v="1"/>
    <n v="41985"/>
    <s v="Shipping Company A"/>
    <s v="Roland Wacker"/>
    <s v="123 10th Street"/>
    <x v="7"/>
    <s v="IL"/>
    <n v="99999"/>
    <s v="USA"/>
    <m/>
    <x v="6"/>
    <x v="2"/>
    <n v="9.1999999999999993"/>
    <n v="13"/>
    <x v="285"/>
    <n v="12.438400000000001"/>
  </r>
  <r>
    <n v="1387"/>
    <x v="144"/>
    <n v="11"/>
    <x v="10"/>
    <s v="123 11th Street"/>
    <x v="9"/>
    <x v="9"/>
    <n v="99999"/>
    <x v="0"/>
    <x v="5"/>
    <x v="3"/>
    <m/>
    <s v="Shipping Company C"/>
    <s v="Peter Krschne"/>
    <s v="123 11th Street"/>
    <x v="9"/>
    <s v="FL"/>
    <n v="99999"/>
    <s v="USA"/>
    <m/>
    <x v="1"/>
    <x v="1"/>
    <n v="3.5"/>
    <n v="74"/>
    <x v="58"/>
    <n v="26.936000000000003"/>
  </r>
  <r>
    <n v="1388"/>
    <x v="144"/>
    <n v="11"/>
    <x v="10"/>
    <s v="123 11th Street"/>
    <x v="9"/>
    <x v="9"/>
    <n v="99999"/>
    <x v="0"/>
    <x v="5"/>
    <x v="3"/>
    <m/>
    <s v="Shipping Company C"/>
    <s v="Peter Krschne"/>
    <s v="123 11th Street"/>
    <x v="9"/>
    <s v="FL"/>
    <n v="99999"/>
    <s v="USA"/>
    <m/>
    <x v="10"/>
    <x v="0"/>
    <n v="2.99"/>
    <n v="53"/>
    <x v="286"/>
    <n v="16.005470000000003"/>
  </r>
  <r>
    <n v="1389"/>
    <x v="145"/>
    <n v="1"/>
    <x v="11"/>
    <s v="123 1st Street"/>
    <x v="10"/>
    <x v="10"/>
    <n v="99999"/>
    <x v="0"/>
    <x v="2"/>
    <x v="2"/>
    <m/>
    <m/>
    <s v="Anna Bedecs"/>
    <s v="123 1st Street"/>
    <x v="10"/>
    <s v="WA"/>
    <n v="99999"/>
    <s v="USA"/>
    <m/>
    <x v="4"/>
    <x v="0"/>
    <n v="18"/>
    <n v="99"/>
    <x v="287"/>
    <n v="174.63600000000002"/>
  </r>
  <r>
    <n v="1390"/>
    <x v="145"/>
    <n v="1"/>
    <x v="11"/>
    <s v="123 1st Street"/>
    <x v="10"/>
    <x v="10"/>
    <n v="99999"/>
    <x v="0"/>
    <x v="2"/>
    <x v="2"/>
    <m/>
    <m/>
    <s v="Anna Bedecs"/>
    <s v="123 1st Street"/>
    <x v="10"/>
    <s v="WA"/>
    <n v="99999"/>
    <s v="USA"/>
    <m/>
    <x v="5"/>
    <x v="0"/>
    <n v="46"/>
    <n v="89"/>
    <x v="288"/>
    <n v="388.93"/>
  </r>
  <r>
    <n v="1391"/>
    <x v="145"/>
    <n v="1"/>
    <x v="11"/>
    <s v="123 1st Street"/>
    <x v="10"/>
    <x v="10"/>
    <n v="99999"/>
    <x v="0"/>
    <x v="2"/>
    <x v="2"/>
    <m/>
    <m/>
    <s v="Anna Bedecs"/>
    <s v="123 1st Street"/>
    <x v="10"/>
    <s v="WA"/>
    <n v="99999"/>
    <s v="USA"/>
    <m/>
    <x v="10"/>
    <x v="0"/>
    <n v="2.99"/>
    <n v="64"/>
    <x v="200"/>
    <n v="19.518720000000002"/>
  </r>
  <r>
    <n v="1392"/>
    <x v="141"/>
    <n v="28"/>
    <x v="7"/>
    <s v="789 28th Street"/>
    <x v="6"/>
    <x v="6"/>
    <n v="99999"/>
    <x v="0"/>
    <x v="5"/>
    <x v="3"/>
    <d v="2014-12-30T00:00:00"/>
    <s v="Shipping Company C"/>
    <s v="Amritansh Raghav"/>
    <s v="789 28th Street"/>
    <x v="6"/>
    <s v="TN"/>
    <n v="99999"/>
    <s v="USA"/>
    <s v="Credit Card"/>
    <x v="8"/>
    <x v="4"/>
    <n v="9.65"/>
    <n v="98"/>
    <x v="289"/>
    <n v="96.461400000000012"/>
  </r>
  <r>
    <n v="1393"/>
    <x v="141"/>
    <n v="28"/>
    <x v="7"/>
    <s v="789 28th Street"/>
    <x v="6"/>
    <x v="6"/>
    <n v="99999"/>
    <x v="0"/>
    <x v="5"/>
    <x v="3"/>
    <d v="2014-12-30T00:00:00"/>
    <s v="Shipping Company C"/>
    <s v="Amritansh Raghav"/>
    <s v="789 28th Street"/>
    <x v="6"/>
    <s v="TN"/>
    <n v="99999"/>
    <s v="USA"/>
    <s v="Credit Card"/>
    <x v="13"/>
    <x v="8"/>
    <n v="18.399999999999999"/>
    <n v="86"/>
    <x v="290"/>
    <n v="155.0752"/>
  </r>
  <r>
    <n v="1394"/>
    <x v="146"/>
    <n v="9"/>
    <x v="12"/>
    <s v="123 9th Street"/>
    <x v="11"/>
    <x v="11"/>
    <n v="99999"/>
    <x v="0"/>
    <x v="7"/>
    <x v="0"/>
    <d v="2014-12-11T00:00:00"/>
    <s v="Shipping Company A"/>
    <s v="Sven Mortensen"/>
    <s v="123 9th Street"/>
    <x v="11"/>
    <s v="UT"/>
    <n v="99999"/>
    <s v="USA"/>
    <s v="Check"/>
    <x v="14"/>
    <x v="9"/>
    <n v="19.5"/>
    <n v="20"/>
    <x v="291"/>
    <n v="40.950000000000003"/>
  </r>
  <r>
    <n v="1395"/>
    <x v="146"/>
    <n v="9"/>
    <x v="12"/>
    <s v="123 9th Street"/>
    <x v="11"/>
    <x v="11"/>
    <n v="99999"/>
    <x v="0"/>
    <x v="7"/>
    <x v="0"/>
    <d v="2014-12-11T00:00:00"/>
    <s v="Shipping Company A"/>
    <s v="Sven Mortensen"/>
    <s v="123 9th Street"/>
    <x v="11"/>
    <s v="UT"/>
    <n v="99999"/>
    <s v="USA"/>
    <s v="Check"/>
    <x v="15"/>
    <x v="10"/>
    <n v="34.799999999999997"/>
    <n v="69"/>
    <x v="292"/>
    <n v="240.12"/>
  </r>
  <r>
    <n v="1396"/>
    <x v="140"/>
    <n v="6"/>
    <x v="6"/>
    <s v="123 6th Street"/>
    <x v="5"/>
    <x v="5"/>
    <n v="99999"/>
    <x v="0"/>
    <x v="4"/>
    <x v="2"/>
    <d v="2014-12-08T00:00:00"/>
    <s v="Shipping Company B"/>
    <s v="Francisco Pérez-Olaeta"/>
    <s v="123 6th Street"/>
    <x v="5"/>
    <s v="WI"/>
    <n v="99999"/>
    <s v="USA"/>
    <s v="Credit Card"/>
    <x v="0"/>
    <x v="0"/>
    <n v="14"/>
    <n v="68"/>
    <x v="293"/>
    <n v="91.391999999999996"/>
  </r>
  <r>
    <n v="1397"/>
    <x v="137"/>
    <n v="8"/>
    <x v="3"/>
    <s v="123 8th Street"/>
    <x v="2"/>
    <x v="2"/>
    <n v="99999"/>
    <x v="0"/>
    <x v="2"/>
    <x v="2"/>
    <d v="2014-12-10T00:00:00"/>
    <s v="Shipping Company B"/>
    <s v="Elizabeth Andersen"/>
    <s v="123 8th Street"/>
    <x v="2"/>
    <s v="OR"/>
    <n v="99999"/>
    <s v="USA"/>
    <s v="Check"/>
    <x v="9"/>
    <x v="5"/>
    <n v="40"/>
    <n v="52"/>
    <x v="294"/>
    <n v="203.84"/>
  </r>
  <r>
    <n v="1398"/>
    <x v="137"/>
    <n v="8"/>
    <x v="3"/>
    <s v="123 8th Street"/>
    <x v="2"/>
    <x v="2"/>
    <n v="99999"/>
    <x v="0"/>
    <x v="2"/>
    <x v="2"/>
    <d v="2014-12-10T00:00:00"/>
    <s v="Shipping Company B"/>
    <s v="Elizabeth Andersen"/>
    <s v="123 8th Street"/>
    <x v="2"/>
    <s v="OR"/>
    <n v="99999"/>
    <s v="USA"/>
    <s v="Check"/>
    <x v="6"/>
    <x v="2"/>
    <n v="9.1999999999999993"/>
    <n v="40"/>
    <x v="295"/>
    <n v="38.640000000000008"/>
  </r>
  <r>
    <n v="1399"/>
    <x v="147"/>
    <n v="25"/>
    <x v="13"/>
    <s v="789 25th Street"/>
    <x v="7"/>
    <x v="7"/>
    <n v="99999"/>
    <x v="0"/>
    <x v="6"/>
    <x v="1"/>
    <d v="2014-12-27T00:00:00"/>
    <s v="Shipping Company A"/>
    <s v="John Rodman"/>
    <s v="789 25th Street"/>
    <x v="7"/>
    <s v="IL"/>
    <n v="99999"/>
    <s v="USA"/>
    <s v="Cash"/>
    <x v="21"/>
    <x v="2"/>
    <n v="10"/>
    <n v="100"/>
    <x v="116"/>
    <n v="98"/>
  </r>
  <r>
    <n v="1400"/>
    <x v="148"/>
    <n v="26"/>
    <x v="14"/>
    <s v="789 26th Street"/>
    <x v="9"/>
    <x v="9"/>
    <n v="99999"/>
    <x v="0"/>
    <x v="5"/>
    <x v="3"/>
    <d v="2014-12-28T00:00:00"/>
    <s v="Shipping Company C"/>
    <s v="Run Liu"/>
    <s v="789 26th Street"/>
    <x v="9"/>
    <s v="FL"/>
    <n v="99999"/>
    <s v="USA"/>
    <s v="Credit Card"/>
    <x v="22"/>
    <x v="13"/>
    <n v="21.35"/>
    <n v="88"/>
    <x v="296"/>
    <n v="184.12240000000003"/>
  </r>
  <r>
    <n v="1401"/>
    <x v="148"/>
    <n v="26"/>
    <x v="14"/>
    <s v="789 26th Street"/>
    <x v="9"/>
    <x v="9"/>
    <n v="99999"/>
    <x v="0"/>
    <x v="5"/>
    <x v="3"/>
    <d v="2014-12-28T00:00:00"/>
    <s v="Shipping Company C"/>
    <s v="Run Liu"/>
    <s v="789 26th Street"/>
    <x v="9"/>
    <s v="FL"/>
    <n v="99999"/>
    <s v="USA"/>
    <s v="Credit Card"/>
    <x v="8"/>
    <x v="4"/>
    <n v="9.65"/>
    <n v="46"/>
    <x v="256"/>
    <n v="42.614400000000003"/>
  </r>
  <r>
    <n v="1402"/>
    <x v="148"/>
    <n v="26"/>
    <x v="14"/>
    <s v="789 26th Street"/>
    <x v="9"/>
    <x v="9"/>
    <n v="99999"/>
    <x v="0"/>
    <x v="5"/>
    <x v="3"/>
    <d v="2014-12-28T00:00:00"/>
    <s v="Shipping Company C"/>
    <s v="Run Liu"/>
    <s v="789 26th Street"/>
    <x v="9"/>
    <s v="FL"/>
    <n v="99999"/>
    <s v="USA"/>
    <s v="Credit Card"/>
    <x v="13"/>
    <x v="8"/>
    <n v="18.399999999999999"/>
    <n v="93"/>
    <x v="297"/>
    <n v="167.69759999999999"/>
  </r>
  <r>
    <n v="1403"/>
    <x v="138"/>
    <n v="29"/>
    <x v="4"/>
    <s v="789 29th Street"/>
    <x v="3"/>
    <x v="3"/>
    <n v="99999"/>
    <x v="0"/>
    <x v="3"/>
    <x v="0"/>
    <d v="2014-12-31T00:00:00"/>
    <s v="Shipping Company B"/>
    <s v="Soo Jung Lee"/>
    <s v="789 29th Street"/>
    <x v="3"/>
    <s v="CO"/>
    <n v="99999"/>
    <s v="USA"/>
    <s v="Check"/>
    <x v="0"/>
    <x v="0"/>
    <n v="14"/>
    <n v="96"/>
    <x v="298"/>
    <n v="141.12"/>
  </r>
  <r>
    <n v="1404"/>
    <x v="140"/>
    <n v="6"/>
    <x v="6"/>
    <s v="123 6th Street"/>
    <x v="5"/>
    <x v="5"/>
    <n v="99999"/>
    <x v="0"/>
    <x v="4"/>
    <x v="2"/>
    <d v="2014-12-08T00:00:00"/>
    <s v="Shipping Company C"/>
    <s v="Francisco Pérez-Olaeta"/>
    <s v="123 6th Street"/>
    <x v="5"/>
    <s v="WI"/>
    <n v="99999"/>
    <s v="USA"/>
    <s v="Check"/>
    <x v="7"/>
    <x v="3"/>
    <n v="12.75"/>
    <n v="12"/>
    <x v="299"/>
    <n v="16.065000000000001"/>
  </r>
  <r>
    <n v="1406"/>
    <x v="135"/>
    <n v="4"/>
    <x v="1"/>
    <s v="123 4th Street"/>
    <x v="1"/>
    <x v="1"/>
    <n v="99999"/>
    <x v="0"/>
    <x v="1"/>
    <x v="1"/>
    <d v="2014-12-06T00:00:00"/>
    <s v="Shipping Company A"/>
    <s v="Christina Lee"/>
    <s v="123 4th Street"/>
    <x v="1"/>
    <s v="NY"/>
    <n v="99999"/>
    <s v="USA"/>
    <s v="Credit Card"/>
    <x v="23"/>
    <x v="6"/>
    <n v="81"/>
    <n v="38"/>
    <x v="300"/>
    <n v="292.41000000000003"/>
  </r>
  <r>
    <n v="1407"/>
    <x v="135"/>
    <n v="4"/>
    <x v="1"/>
    <s v="123 4th Street"/>
    <x v="1"/>
    <x v="1"/>
    <n v="99999"/>
    <x v="0"/>
    <x v="1"/>
    <x v="1"/>
    <d v="2014-12-06T00:00:00"/>
    <s v="Shipping Company A"/>
    <s v="Christina Lee"/>
    <s v="123 4th Street"/>
    <x v="1"/>
    <s v="NY"/>
    <n v="99999"/>
    <s v="USA"/>
    <s v="Credit Card"/>
    <x v="24"/>
    <x v="14"/>
    <n v="7"/>
    <n v="42"/>
    <x v="108"/>
    <n v="29.106000000000002"/>
  </r>
  <r>
    <n v="1409"/>
    <x v="137"/>
    <n v="8"/>
    <x v="3"/>
    <s v="123 8th Street"/>
    <x v="2"/>
    <x v="2"/>
    <n v="99999"/>
    <x v="0"/>
    <x v="2"/>
    <x v="2"/>
    <d v="2014-12-10T00:00:00"/>
    <s v="Shipping Company C"/>
    <s v="Elizabeth Andersen"/>
    <s v="123 8th Street"/>
    <x v="2"/>
    <s v="OR"/>
    <n v="99999"/>
    <s v="USA"/>
    <s v="Credit Card"/>
    <x v="15"/>
    <x v="10"/>
    <n v="34.799999999999997"/>
    <n v="100"/>
    <x v="301"/>
    <n v="344.52"/>
  </r>
  <r>
    <n v="1412"/>
    <x v="139"/>
    <n v="3"/>
    <x v="5"/>
    <s v="123 3rd Street"/>
    <x v="4"/>
    <x v="4"/>
    <n v="99999"/>
    <x v="0"/>
    <x v="0"/>
    <x v="0"/>
    <d v="2014-12-05T00:00:00"/>
    <s v="Shipping Company B"/>
    <s v="Thomas Axerr"/>
    <s v="123 3rd Street"/>
    <x v="4"/>
    <s v="CA"/>
    <n v="99999"/>
    <s v="USA"/>
    <s v="Cash"/>
    <x v="16"/>
    <x v="7"/>
    <n v="10"/>
    <n v="89"/>
    <x v="302"/>
    <n v="87.22"/>
  </r>
  <r>
    <n v="1413"/>
    <x v="139"/>
    <n v="3"/>
    <x v="5"/>
    <s v="123 3rd Street"/>
    <x v="4"/>
    <x v="4"/>
    <n v="99999"/>
    <x v="0"/>
    <x v="0"/>
    <x v="0"/>
    <d v="2014-12-05T00:00:00"/>
    <s v="Shipping Company B"/>
    <s v="Thomas Axerr"/>
    <s v="123 3rd Street"/>
    <x v="4"/>
    <s v="CA"/>
    <n v="99999"/>
    <s v="USA"/>
    <s v="Cash"/>
    <x v="9"/>
    <x v="5"/>
    <n v="40"/>
    <n v="12"/>
    <x v="60"/>
    <n v="46.56"/>
  </r>
  <r>
    <n v="1417"/>
    <x v="142"/>
    <n v="10"/>
    <x v="8"/>
    <s v="123 10th Street"/>
    <x v="7"/>
    <x v="7"/>
    <n v="99999"/>
    <x v="0"/>
    <x v="6"/>
    <x v="1"/>
    <d v="2014-12-12T00:00:00"/>
    <s v="Shipping Company B"/>
    <s v="Roland Wacker"/>
    <s v="123 10th Street"/>
    <x v="7"/>
    <s v="IL"/>
    <n v="99999"/>
    <s v="USA"/>
    <s v="Credit Card"/>
    <x v="18"/>
    <x v="1"/>
    <n v="10"/>
    <n v="97"/>
    <x v="303"/>
    <n v="100.88000000000001"/>
  </r>
  <r>
    <n v="1419"/>
    <x v="142"/>
    <n v="10"/>
    <x v="8"/>
    <s v="123 10th Street"/>
    <x v="7"/>
    <x v="7"/>
    <n v="99999"/>
    <x v="0"/>
    <x v="6"/>
    <x v="1"/>
    <m/>
    <s v="Shipping Company A"/>
    <s v="Roland Wacker"/>
    <s v="123 10th Street"/>
    <x v="7"/>
    <s v="IL"/>
    <n v="99999"/>
    <s v="USA"/>
    <m/>
    <x v="1"/>
    <x v="1"/>
    <n v="3.5"/>
    <n v="53"/>
    <x v="304"/>
    <n v="17.622499999999999"/>
  </r>
  <r>
    <n v="1420"/>
    <x v="144"/>
    <n v="11"/>
    <x v="10"/>
    <s v="123 11th Street"/>
    <x v="9"/>
    <x v="9"/>
    <n v="99999"/>
    <x v="0"/>
    <x v="5"/>
    <x v="3"/>
    <m/>
    <s v="Shipping Company C"/>
    <s v="Peter Krschne"/>
    <s v="123 11th Street"/>
    <x v="9"/>
    <s v="FL"/>
    <n v="99999"/>
    <s v="USA"/>
    <m/>
    <x v="9"/>
    <x v="5"/>
    <n v="40"/>
    <n v="61"/>
    <x v="305"/>
    <n v="248.88"/>
  </r>
  <r>
    <n v="1421"/>
    <x v="145"/>
    <n v="1"/>
    <x v="11"/>
    <s v="123 1st Street"/>
    <x v="10"/>
    <x v="10"/>
    <n v="99999"/>
    <x v="0"/>
    <x v="2"/>
    <x v="2"/>
    <m/>
    <s v="Shipping Company C"/>
    <s v="Anna Bedecs"/>
    <s v="123 1st Street"/>
    <x v="10"/>
    <s v="WA"/>
    <n v="99999"/>
    <s v="USA"/>
    <m/>
    <x v="13"/>
    <x v="8"/>
    <n v="18.399999999999999"/>
    <n v="45"/>
    <x v="306"/>
    <n v="81.143999999999991"/>
  </r>
  <r>
    <n v="1422"/>
    <x v="141"/>
    <n v="28"/>
    <x v="7"/>
    <s v="789 28th Street"/>
    <x v="6"/>
    <x v="6"/>
    <n v="99999"/>
    <x v="0"/>
    <x v="5"/>
    <x v="3"/>
    <d v="2014-12-30T00:00:00"/>
    <s v="Shipping Company C"/>
    <s v="Amritansh Raghav"/>
    <s v="789 28th Street"/>
    <x v="6"/>
    <s v="TN"/>
    <n v="99999"/>
    <s v="USA"/>
    <s v="Credit Card"/>
    <x v="5"/>
    <x v="0"/>
    <n v="46"/>
    <n v="43"/>
    <x v="307"/>
    <n v="197.8"/>
  </r>
  <r>
    <n v="1423"/>
    <x v="146"/>
    <n v="9"/>
    <x v="12"/>
    <s v="123 9th Street"/>
    <x v="11"/>
    <x v="11"/>
    <n v="99999"/>
    <x v="0"/>
    <x v="7"/>
    <x v="0"/>
    <d v="2014-12-11T00:00:00"/>
    <s v="Shipping Company A"/>
    <s v="Sven Mortensen"/>
    <s v="123 9th Street"/>
    <x v="11"/>
    <s v="UT"/>
    <n v="99999"/>
    <s v="USA"/>
    <s v="Check"/>
    <x v="8"/>
    <x v="4"/>
    <n v="9.65"/>
    <n v="18"/>
    <x v="308"/>
    <n v="16.5015"/>
  </r>
  <r>
    <n v="1424"/>
    <x v="140"/>
    <n v="6"/>
    <x v="6"/>
    <s v="123 6th Street"/>
    <x v="5"/>
    <x v="5"/>
    <n v="99999"/>
    <x v="0"/>
    <x v="4"/>
    <x v="2"/>
    <d v="2014-12-08T00:00:00"/>
    <s v="Shipping Company B"/>
    <s v="Francisco Pérez-Olaeta"/>
    <s v="123 6th Street"/>
    <x v="5"/>
    <s v="WI"/>
    <n v="99999"/>
    <s v="USA"/>
    <s v="Credit Card"/>
    <x v="7"/>
    <x v="3"/>
    <n v="12.75"/>
    <n v="41"/>
    <x v="87"/>
    <n v="50.706750000000007"/>
  </r>
  <r>
    <n v="1425"/>
    <x v="137"/>
    <n v="8"/>
    <x v="3"/>
    <s v="123 8th Street"/>
    <x v="2"/>
    <x v="2"/>
    <n v="99999"/>
    <x v="0"/>
    <x v="2"/>
    <x v="2"/>
    <n v="41983"/>
    <s v="Shipping Company B"/>
    <s v="Elizabeth Andersen"/>
    <s v="123 8th Street"/>
    <x v="2"/>
    <s v="OR"/>
    <n v="99999"/>
    <s v="USA"/>
    <s v="Check"/>
    <x v="7"/>
    <x v="3"/>
    <n v="12.75"/>
    <n v="19"/>
    <x v="109"/>
    <n v="23.982750000000003"/>
  </r>
  <r>
    <n v="1426"/>
    <x v="147"/>
    <n v="25"/>
    <x v="13"/>
    <s v="789 25th Street"/>
    <x v="7"/>
    <x v="7"/>
    <n v="99999"/>
    <x v="0"/>
    <x v="6"/>
    <x v="1"/>
    <n v="42000"/>
    <s v="Shipping Company A"/>
    <s v="John Rodman"/>
    <s v="789 25th Street"/>
    <x v="7"/>
    <s v="IL"/>
    <n v="99999"/>
    <s v="USA"/>
    <s v="Cash"/>
    <x v="12"/>
    <x v="7"/>
    <n v="22"/>
    <n v="65"/>
    <x v="309"/>
    <n v="138.71"/>
  </r>
  <r>
    <n v="1427"/>
    <x v="148"/>
    <n v="26"/>
    <x v="14"/>
    <s v="789 26th Street"/>
    <x v="9"/>
    <x v="9"/>
    <n v="99999"/>
    <x v="0"/>
    <x v="5"/>
    <x v="3"/>
    <n v="42001"/>
    <s v="Shipping Company C"/>
    <s v="Run Liu"/>
    <s v="789 26th Street"/>
    <x v="9"/>
    <s v="FL"/>
    <n v="99999"/>
    <s v="USA"/>
    <s v="Credit Card"/>
    <x v="11"/>
    <x v="6"/>
    <n v="25"/>
    <n v="13"/>
    <x v="310"/>
    <n v="32.174999999999997"/>
  </r>
  <r>
    <n v="1428"/>
    <x v="138"/>
    <n v="29"/>
    <x v="4"/>
    <s v="789 29th Street"/>
    <x v="3"/>
    <x v="3"/>
    <n v="99999"/>
    <x v="0"/>
    <x v="3"/>
    <x v="0"/>
    <n v="42004"/>
    <s v="Shipping Company B"/>
    <s v="Soo Jung Lee"/>
    <s v="789 29th Street"/>
    <x v="3"/>
    <s v="CO"/>
    <n v="99999"/>
    <s v="USA"/>
    <s v="Check"/>
    <x v="19"/>
    <x v="12"/>
    <n v="39"/>
    <n v="54"/>
    <x v="311"/>
    <n v="214.81200000000004"/>
  </r>
  <r>
    <n v="1429"/>
    <x v="140"/>
    <n v="6"/>
    <x v="6"/>
    <s v="123 6th Street"/>
    <x v="5"/>
    <x v="5"/>
    <n v="99999"/>
    <x v="0"/>
    <x v="4"/>
    <x v="2"/>
    <d v="2014-12-08T00:00:00"/>
    <s v="Shipping Company C"/>
    <s v="Francisco Pérez-Olaeta"/>
    <s v="123 6th Street"/>
    <x v="5"/>
    <s v="WI"/>
    <n v="99999"/>
    <s v="USA"/>
    <s v="Check"/>
    <x v="2"/>
    <x v="1"/>
    <n v="30"/>
    <n v="33"/>
    <x v="82"/>
    <n v="95.039999999999992"/>
  </r>
  <r>
    <n v="1430"/>
    <x v="140"/>
    <n v="6"/>
    <x v="6"/>
    <s v="123 6th Street"/>
    <x v="5"/>
    <x v="5"/>
    <n v="99999"/>
    <x v="0"/>
    <x v="4"/>
    <x v="2"/>
    <d v="2014-12-08T00:00:00"/>
    <s v="Shipping Company C"/>
    <s v="Francisco Pérez-Olaeta"/>
    <s v="123 6th Street"/>
    <x v="5"/>
    <s v="WI"/>
    <n v="99999"/>
    <s v="USA"/>
    <s v="Check"/>
    <x v="3"/>
    <x v="1"/>
    <n v="53"/>
    <n v="34"/>
    <x v="312"/>
    <n v="185.60600000000002"/>
  </r>
  <r>
    <n v="1431"/>
    <x v="135"/>
    <n v="4"/>
    <x v="1"/>
    <s v="123 4th Street"/>
    <x v="1"/>
    <x v="1"/>
    <n v="99999"/>
    <x v="0"/>
    <x v="1"/>
    <x v="1"/>
    <m/>
    <m/>
    <s v="Christina Lee"/>
    <s v="123 4th Street"/>
    <x v="1"/>
    <s v="NY"/>
    <n v="99999"/>
    <s v="USA"/>
    <m/>
    <x v="20"/>
    <x v="9"/>
    <n v="38"/>
    <n v="59"/>
    <x v="313"/>
    <n v="226.44200000000001"/>
  </r>
  <r>
    <n v="1432"/>
    <x v="139"/>
    <n v="3"/>
    <x v="5"/>
    <s v="123 3rd Street"/>
    <x v="4"/>
    <x v="4"/>
    <n v="99999"/>
    <x v="0"/>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5D3EF7-2028-49D0-92E3-B530BC3B77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axis="axisRow"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25">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1" format="23" series="1">
      <pivotArea type="data" outline="0" fieldPosition="0">
        <references count="1">
          <reference field="4294967294" count="1" selected="0">
            <x v="0"/>
          </reference>
        </references>
      </pivotArea>
    </chartFormat>
    <chartFormat chart="11" format="30">
      <pivotArea type="data" outline="0" fieldPosition="0">
        <references count="2">
          <reference field="4294967294" count="1" selected="0">
            <x v="0"/>
          </reference>
          <reference field="24" count="1" selected="0">
            <x v="1"/>
          </reference>
        </references>
      </pivotArea>
    </chartFormat>
    <chartFormat chart="11" format="31">
      <pivotArea type="data" outline="0" fieldPosition="0">
        <references count="2">
          <reference field="4294967294" count="1" selected="0">
            <x v="0"/>
          </reference>
          <reference field="24" count="1" selected="0">
            <x v="2"/>
          </reference>
        </references>
      </pivotArea>
    </chartFormat>
    <chartFormat chart="11" format="32">
      <pivotArea type="data" outline="0" fieldPosition="0">
        <references count="2">
          <reference field="4294967294" count="1" selected="0">
            <x v="0"/>
          </reference>
          <reference field="24" count="1" selected="0">
            <x v="3"/>
          </reference>
        </references>
      </pivotArea>
    </chartFormat>
    <chartFormat chart="11" format="33">
      <pivotArea type="data" outline="0" fieldPosition="0">
        <references count="2">
          <reference field="4294967294" count="1" selected="0">
            <x v="0"/>
          </reference>
          <reference field="24" count="1" selected="0">
            <x v="4"/>
          </reference>
        </references>
      </pivotArea>
    </chartFormat>
    <chartFormat chart="11" format="34">
      <pivotArea type="data" outline="0" fieldPosition="0">
        <references count="2">
          <reference field="4294967294" count="1" selected="0">
            <x v="0"/>
          </reference>
          <reference field="24" count="1" selected="0">
            <x v="5"/>
          </reference>
        </references>
      </pivotArea>
    </chartFormat>
    <chartFormat chart="11" format="35">
      <pivotArea type="data" outline="0" fieldPosition="0">
        <references count="2">
          <reference field="4294967294" count="1" selected="0">
            <x v="0"/>
          </reference>
          <reference field="24" count="1" selected="0">
            <x v="7"/>
          </reference>
        </references>
      </pivotArea>
    </chartFormat>
    <chartFormat chart="11" format="36">
      <pivotArea type="data" outline="0" fieldPosition="0">
        <references count="2">
          <reference field="4294967294" count="1" selected="0">
            <x v="0"/>
          </reference>
          <reference field="24" count="1" selected="0">
            <x v="8"/>
          </reference>
        </references>
      </pivotArea>
    </chartFormat>
    <chartFormat chart="17" format="37" series="1">
      <pivotArea type="data" outline="0" fieldPosition="0">
        <references count="1">
          <reference field="4294967294" count="1" selected="0">
            <x v="0"/>
          </reference>
        </references>
      </pivotArea>
    </chartFormat>
    <chartFormat chart="17" format="38">
      <pivotArea type="data" outline="0" fieldPosition="0">
        <references count="2">
          <reference field="4294967294" count="1" selected="0">
            <x v="0"/>
          </reference>
          <reference field="24" count="1" selected="0">
            <x v="2"/>
          </reference>
        </references>
      </pivotArea>
    </chartFormat>
    <chartFormat chart="17" format="39">
      <pivotArea type="data" outline="0" fieldPosition="0">
        <references count="2">
          <reference field="4294967294" count="1" selected="0">
            <x v="0"/>
          </reference>
          <reference field="24" count="1" selected="0">
            <x v="3"/>
          </reference>
        </references>
      </pivotArea>
    </chartFormat>
    <chartFormat chart="17" format="40">
      <pivotArea type="data" outline="0" fieldPosition="0">
        <references count="2">
          <reference field="4294967294" count="1" selected="0">
            <x v="0"/>
          </reference>
          <reference field="24" count="1" selected="0">
            <x v="4"/>
          </reference>
        </references>
      </pivotArea>
    </chartFormat>
    <chartFormat chart="17" format="41">
      <pivotArea type="data" outline="0" fieldPosition="0">
        <references count="2">
          <reference field="4294967294" count="1" selected="0">
            <x v="0"/>
          </reference>
          <reference field="24" count="1" selected="0">
            <x v="5"/>
          </reference>
        </references>
      </pivotArea>
    </chartFormat>
    <chartFormat chart="17" format="42">
      <pivotArea type="data" outline="0" fieldPosition="0">
        <references count="2">
          <reference field="4294967294" count="1" selected="0">
            <x v="0"/>
          </reference>
          <reference field="24" count="1" selected="0">
            <x v="7"/>
          </reference>
        </references>
      </pivotArea>
    </chartFormat>
    <chartFormat chart="17" format="43">
      <pivotArea type="data" outline="0" fieldPosition="0">
        <references count="2">
          <reference field="4294967294" count="1" selected="0">
            <x v="0"/>
          </reference>
          <reference field="24" count="1" selected="0">
            <x v="8"/>
          </reference>
        </references>
      </pivotArea>
    </chartFormat>
    <chartFormat chart="18" format="44" series="1">
      <pivotArea type="data" outline="0" fieldPosition="0">
        <references count="1">
          <reference field="4294967294" count="1" selected="0">
            <x v="0"/>
          </reference>
        </references>
      </pivotArea>
    </chartFormat>
    <chartFormat chart="18" format="45">
      <pivotArea type="data" outline="0" fieldPosition="0">
        <references count="2">
          <reference field="4294967294" count="1" selected="0">
            <x v="0"/>
          </reference>
          <reference field="24" count="1" selected="0">
            <x v="2"/>
          </reference>
        </references>
      </pivotArea>
    </chartFormat>
    <chartFormat chart="18" format="46">
      <pivotArea type="data" outline="0" fieldPosition="0">
        <references count="2">
          <reference field="4294967294" count="1" selected="0">
            <x v="0"/>
          </reference>
          <reference field="24" count="1" selected="0">
            <x v="3"/>
          </reference>
        </references>
      </pivotArea>
    </chartFormat>
    <chartFormat chart="18" format="47">
      <pivotArea type="data" outline="0" fieldPosition="0">
        <references count="2">
          <reference field="4294967294" count="1" selected="0">
            <x v="0"/>
          </reference>
          <reference field="24" count="1" selected="0">
            <x v="4"/>
          </reference>
        </references>
      </pivotArea>
    </chartFormat>
    <chartFormat chart="18" format="48">
      <pivotArea type="data" outline="0" fieldPosition="0">
        <references count="2">
          <reference field="4294967294" count="1" selected="0">
            <x v="0"/>
          </reference>
          <reference field="24" count="1" selected="0">
            <x v="5"/>
          </reference>
        </references>
      </pivotArea>
    </chartFormat>
    <chartFormat chart="18" format="49">
      <pivotArea type="data" outline="0" fieldPosition="0">
        <references count="2">
          <reference field="4294967294" count="1" selected="0">
            <x v="0"/>
          </reference>
          <reference field="24" count="1" selected="0">
            <x v="7"/>
          </reference>
        </references>
      </pivotArea>
    </chartFormat>
    <chartFormat chart="18" format="50">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1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08EBA1-1D79-4194-A94F-E8801E58C8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
        <item x="0"/>
        <item t="default"/>
      </items>
    </pivotField>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items count="16">
        <item x="2"/>
        <item x="0"/>
        <item x="3"/>
        <item x="8"/>
        <item x="7"/>
        <item x="10"/>
        <item x="1"/>
        <item x="12"/>
        <item x="14"/>
        <item x="6"/>
        <item x="13"/>
        <item x="9"/>
        <item x="5"/>
        <item x="11"/>
        <item x="4"/>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sortType="descending">
      <items count="15">
        <item x="13"/>
        <item x="0"/>
        <item x="12"/>
        <item x="11"/>
        <item x="10"/>
        <item x="9"/>
        <item x="8"/>
        <item x="7"/>
        <item x="6"/>
        <item x="5"/>
        <item x="4"/>
        <item x="3"/>
        <item x="2"/>
        <item x="1"/>
        <item t="default"/>
      </items>
    </pivotField>
  </pivotFields>
  <rowFields count="1">
    <field x="21"/>
  </rowFields>
  <rowItems count="7">
    <i>
      <x v="1"/>
    </i>
    <i>
      <x v="3"/>
    </i>
    <i>
      <x v="5"/>
    </i>
    <i>
      <x v="6"/>
    </i>
    <i>
      <x v="9"/>
    </i>
    <i>
      <x v="12"/>
    </i>
    <i t="grand">
      <x/>
    </i>
  </rowItems>
  <colItems count="1">
    <i/>
  </colItems>
  <dataFields count="1">
    <dataField name="Sum of Revenue" fld="24" baseField="0" baseItem="0" numFmtId="166"/>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3"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1EC54-8BA9-49CC-8E6B-A1C92AB8BB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0"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6"/>
  </dataFields>
  <chartFormats count="23">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15" count="1" selected="0">
            <x v="9"/>
          </reference>
        </references>
      </pivotArea>
    </chartFormat>
    <chartFormat chart="9" format="19">
      <pivotArea type="data" outline="0" fieldPosition="0">
        <references count="2">
          <reference field="4294967294" count="1" selected="0">
            <x v="0"/>
          </reference>
          <reference field="15" count="1" selected="0">
            <x v="6"/>
          </reference>
        </references>
      </pivotArea>
    </chartFormat>
    <chartFormat chart="9" format="20">
      <pivotArea type="data" outline="0" fieldPosition="0">
        <references count="2">
          <reference field="4294967294" count="1" selected="0">
            <x v="0"/>
          </reference>
          <reference field="15" count="1" selected="0">
            <x v="5"/>
          </reference>
        </references>
      </pivotArea>
    </chartFormat>
    <chartFormat chart="9" format="21">
      <pivotArea type="data" outline="0" fieldPosition="0">
        <references count="2">
          <reference field="4294967294" count="1" selected="0">
            <x v="0"/>
          </reference>
          <reference field="15" count="1" selected="0">
            <x v="1"/>
          </reference>
        </references>
      </pivotArea>
    </chartFormat>
    <chartFormat chart="9" format="22">
      <pivotArea type="data" outline="0" fieldPosition="0">
        <references count="2">
          <reference field="4294967294" count="1" selected="0">
            <x v="0"/>
          </reference>
          <reference field="15" count="1" selected="0">
            <x v="7"/>
          </reference>
        </references>
      </pivotArea>
    </chartFormat>
    <chartFormat chart="9" format="23">
      <pivotArea type="data" outline="0" fieldPosition="0">
        <references count="2">
          <reference field="4294967294" count="1" selected="0">
            <x v="0"/>
          </reference>
          <reference field="15" count="1" selected="0">
            <x v="8"/>
          </reference>
        </references>
      </pivotArea>
    </chartFormat>
    <chartFormat chart="14" format="31" series="1">
      <pivotArea type="data" outline="0" fieldPosition="0">
        <references count="1">
          <reference field="4294967294" count="1" selected="0">
            <x v="0"/>
          </reference>
        </references>
      </pivotArea>
    </chartFormat>
    <chartFormat chart="14" format="32">
      <pivotArea type="data" outline="0" fieldPosition="0">
        <references count="2">
          <reference field="4294967294" count="1" selected="0">
            <x v="0"/>
          </reference>
          <reference field="15" count="1" selected="0">
            <x v="8"/>
          </reference>
        </references>
      </pivotArea>
    </chartFormat>
    <chartFormat chart="14" format="33">
      <pivotArea type="data" outline="0" fieldPosition="0">
        <references count="2">
          <reference field="4294967294" count="1" selected="0">
            <x v="0"/>
          </reference>
          <reference field="15" count="1" selected="0">
            <x v="9"/>
          </reference>
        </references>
      </pivotArea>
    </chartFormat>
    <chartFormat chart="14" format="34">
      <pivotArea type="data" outline="0" fieldPosition="0">
        <references count="2">
          <reference field="4294967294" count="1" selected="0">
            <x v="0"/>
          </reference>
          <reference field="15" count="1" selected="0">
            <x v="6"/>
          </reference>
        </references>
      </pivotArea>
    </chartFormat>
    <chartFormat chart="14" format="35">
      <pivotArea type="data" outline="0" fieldPosition="0">
        <references count="2">
          <reference field="4294967294" count="1" selected="0">
            <x v="0"/>
          </reference>
          <reference field="15" count="1" selected="0">
            <x v="5"/>
          </reference>
        </references>
      </pivotArea>
    </chartFormat>
    <chartFormat chart="14" format="36">
      <pivotArea type="data" outline="0" fieldPosition="0">
        <references count="2">
          <reference field="4294967294" count="1" selected="0">
            <x v="0"/>
          </reference>
          <reference field="15" count="1" selected="0">
            <x v="1"/>
          </reference>
        </references>
      </pivotArea>
    </chartFormat>
    <chartFormat chart="14" format="37">
      <pivotArea type="data" outline="0" fieldPosition="0">
        <references count="2">
          <reference field="4294967294" count="1" selected="0">
            <x v="0"/>
          </reference>
          <reference field="15" count="1" selected="0">
            <x v="7"/>
          </reference>
        </references>
      </pivotArea>
    </chartFormat>
    <chartFormat chart="19" format="59" series="1">
      <pivotArea type="data" outline="0" fieldPosition="0">
        <references count="1">
          <reference field="4294967294" count="1" selected="0">
            <x v="0"/>
          </reference>
        </references>
      </pivotArea>
    </chartFormat>
    <chartFormat chart="19" format="60">
      <pivotArea type="data" outline="0" fieldPosition="0">
        <references count="2">
          <reference field="4294967294" count="1" selected="0">
            <x v="0"/>
          </reference>
          <reference field="15" count="1" selected="0">
            <x v="8"/>
          </reference>
        </references>
      </pivotArea>
    </chartFormat>
    <chartFormat chart="19" format="61">
      <pivotArea type="data" outline="0" fieldPosition="0">
        <references count="2">
          <reference field="4294967294" count="1" selected="0">
            <x v="0"/>
          </reference>
          <reference field="15" count="1" selected="0">
            <x v="9"/>
          </reference>
        </references>
      </pivotArea>
    </chartFormat>
    <chartFormat chart="19" format="62">
      <pivotArea type="data" outline="0" fieldPosition="0">
        <references count="2">
          <reference field="4294967294" count="1" selected="0">
            <x v="0"/>
          </reference>
          <reference field="15" count="1" selected="0">
            <x v="6"/>
          </reference>
        </references>
      </pivotArea>
    </chartFormat>
    <chartFormat chart="19" format="63">
      <pivotArea type="data" outline="0" fieldPosition="0">
        <references count="2">
          <reference field="4294967294" count="1" selected="0">
            <x v="0"/>
          </reference>
          <reference field="15" count="1" selected="0">
            <x v="5"/>
          </reference>
        </references>
      </pivotArea>
    </chartFormat>
    <chartFormat chart="19" format="64">
      <pivotArea type="data" outline="0" fieldPosition="0">
        <references count="2">
          <reference field="4294967294" count="1" selected="0">
            <x v="0"/>
          </reference>
          <reference field="15" count="1" selected="0">
            <x v="1"/>
          </reference>
        </references>
      </pivotArea>
    </chartFormat>
    <chartFormat chart="19" format="65">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1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3661F5-BA48-42B2-8DDD-59E3FB973C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axis="axisRow"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5"/>
  </rowFields>
  <rowItems count="6">
    <i>
      <x v="1"/>
    </i>
    <i>
      <x v="5"/>
    </i>
    <i>
      <x v="6"/>
    </i>
    <i>
      <x v="9"/>
    </i>
    <i>
      <x v="8"/>
    </i>
    <i t="grand">
      <x/>
    </i>
  </rowItems>
  <colItems count="1">
    <i/>
  </colItems>
  <dataFields count="1">
    <dataField name="Sum of Revenue" fld="24" baseField="0" baseItem="0" numFmtId="166"/>
  </dataFields>
  <chartFormats count="12">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5" count="1" selected="0">
            <x v="9"/>
          </reference>
        </references>
      </pivotArea>
    </chartFormat>
    <chartFormat chart="7" format="11">
      <pivotArea type="data" outline="0" fieldPosition="0">
        <references count="2">
          <reference field="4294967294" count="1" selected="0">
            <x v="0"/>
          </reference>
          <reference field="5" count="1" selected="0">
            <x v="6"/>
          </reference>
        </references>
      </pivotArea>
    </chartFormat>
    <chartFormat chart="7" format="12">
      <pivotArea type="data" outline="0" fieldPosition="0">
        <references count="2">
          <reference field="4294967294" count="1" selected="0">
            <x v="0"/>
          </reference>
          <reference field="5" count="1" selected="0">
            <x v="5"/>
          </reference>
        </references>
      </pivotArea>
    </chartFormat>
    <chartFormat chart="7" format="13">
      <pivotArea type="data" outline="0" fieldPosition="0">
        <references count="2">
          <reference field="4294967294" count="1" selected="0">
            <x v="0"/>
          </reference>
          <reference field="5" count="1" selected="0">
            <x v="1"/>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5" count="1" selected="0">
            <x v="1"/>
          </reference>
        </references>
      </pivotArea>
    </chartFormat>
    <chartFormat chart="12" format="21">
      <pivotArea type="data" outline="0" fieldPosition="0">
        <references count="2">
          <reference field="4294967294" count="1" selected="0">
            <x v="0"/>
          </reference>
          <reference field="5" count="1" selected="0">
            <x v="5"/>
          </reference>
        </references>
      </pivotArea>
    </chartFormat>
    <chartFormat chart="12" format="22">
      <pivotArea type="data" outline="0" fieldPosition="0">
        <references count="2">
          <reference field="4294967294" count="1" selected="0">
            <x v="0"/>
          </reference>
          <reference field="5" count="1" selected="0">
            <x v="6"/>
          </reference>
        </references>
      </pivotArea>
    </chartFormat>
    <chartFormat chart="12" format="23">
      <pivotArea type="data" outline="0" fieldPosition="0">
        <references count="2">
          <reference field="4294967294" count="1" selected="0">
            <x v="0"/>
          </reference>
          <reference field="5" count="1" selected="0">
            <x v="9"/>
          </reference>
        </references>
      </pivotArea>
    </chartFormat>
    <chartFormat chart="7" format="14">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44AE7A-15B7-49AB-9A9D-ACA7DD7C49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3">
        <item x="4"/>
        <item x="3"/>
        <item x="9"/>
        <item x="8"/>
        <item x="7"/>
        <item x="0"/>
        <item x="1"/>
        <item x="2"/>
        <item x="6"/>
        <item x="11"/>
        <item x="10"/>
        <item x="5"/>
        <item t="default"/>
      </items>
    </pivotField>
    <pivotField showAll="0"/>
    <pivotField showAll="0">
      <items count="2">
        <item x="0"/>
        <item t="default"/>
      </items>
    </pivotField>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items count="16">
        <item x="2"/>
        <item x="0"/>
        <item x="3"/>
        <item x="8"/>
        <item x="7"/>
        <item x="10"/>
        <item x="1"/>
        <item x="12"/>
        <item x="14"/>
        <item x="6"/>
        <item x="13"/>
        <item x="9"/>
        <item x="5"/>
        <item x="11"/>
        <item x="4"/>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sortType="descending">
      <items count="15">
        <item x="13"/>
        <item x="0"/>
        <item x="12"/>
        <item x="11"/>
        <item x="10"/>
        <item x="9"/>
        <item x="8"/>
        <item x="7"/>
        <item x="6"/>
        <item x="5"/>
        <item x="4"/>
        <item x="3"/>
        <item x="2"/>
        <item x="1"/>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166"/>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3"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20A30D-2858-4C15-BD16-DF3E0FC07A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8"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baseField="0" baseItem="0" numFmtId="166"/>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0" count="1" selected="0">
            <x v="1"/>
          </reference>
        </references>
      </pivotArea>
    </chartFormat>
    <chartFormat chart="8" format="12">
      <pivotArea type="data" outline="0" fieldPosition="0">
        <references count="2">
          <reference field="4294967294" count="1" selected="0">
            <x v="0"/>
          </reference>
          <reference field="10" count="1" selected="0">
            <x v="0"/>
          </reference>
        </references>
      </pivotArea>
    </chartFormat>
    <chartFormat chart="8" format="13">
      <pivotArea type="data" outline="0" fieldPosition="0">
        <references count="2">
          <reference field="4294967294" count="1" selected="0">
            <x v="0"/>
          </reference>
          <reference field="10" count="1" selected="0">
            <x v="2"/>
          </reference>
        </references>
      </pivotArea>
    </chartFormat>
    <chartFormat chart="8" format="14">
      <pivotArea type="data" outline="0" fieldPosition="0">
        <references count="2">
          <reference field="4294967294" count="1" selected="0">
            <x v="0"/>
          </reference>
          <reference field="10"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0" count="1" selected="0">
            <x v="1"/>
          </reference>
        </references>
      </pivotArea>
    </chartFormat>
    <chartFormat chart="11" format="12">
      <pivotArea type="data" outline="0" fieldPosition="0">
        <references count="2">
          <reference field="4294967294" count="1" selected="0">
            <x v="0"/>
          </reference>
          <reference field="10" count="1" selected="0">
            <x v="0"/>
          </reference>
        </references>
      </pivotArea>
    </chartFormat>
    <chartFormat chart="11" format="13">
      <pivotArea type="data" outline="0" fieldPosition="0">
        <references count="2">
          <reference field="4294967294" count="1" selected="0">
            <x v="0"/>
          </reference>
          <reference field="10" count="1" selected="0">
            <x v="2"/>
          </reference>
        </references>
      </pivotArea>
    </chartFormat>
    <chartFormat chart="11"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29688-8893-4263-97DA-309D1E6C86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6"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
        <item x="0"/>
        <item t="default"/>
      </items>
    </pivotField>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axis="axisRow" showAll="0" sortType="descending">
      <items count="15">
        <item x="13"/>
        <item x="0"/>
        <item x="12"/>
        <item x="11"/>
        <item x="10"/>
        <item x="9"/>
        <item x="8"/>
        <item x="7"/>
        <item x="6"/>
        <item x="5"/>
        <item x="4"/>
        <item x="3"/>
        <item x="2"/>
        <item x="1"/>
        <item t="default"/>
      </items>
    </pivotField>
  </pivotFields>
  <rowFields count="1">
    <field x="26"/>
  </rowFields>
  <rowItems count="13">
    <i>
      <x v="2"/>
    </i>
    <i>
      <x v="3"/>
    </i>
    <i>
      <x v="4"/>
    </i>
    <i>
      <x v="5"/>
    </i>
    <i>
      <x v="6"/>
    </i>
    <i>
      <x v="7"/>
    </i>
    <i>
      <x v="8"/>
    </i>
    <i>
      <x v="9"/>
    </i>
    <i>
      <x v="10"/>
    </i>
    <i>
      <x v="11"/>
    </i>
    <i>
      <x v="12"/>
    </i>
    <i>
      <x v="13"/>
    </i>
    <i t="grand">
      <x/>
    </i>
  </rowItems>
  <colItems count="1">
    <i/>
  </colItems>
  <dataFields count="1">
    <dataField name="Sum of Revenue" fld="24" baseField="0" baseItem="0" numFmtId="166"/>
  </dataFields>
  <chartFormats count="3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3" format="30" series="1">
      <pivotArea type="data" outline="0" fieldPosition="0">
        <references count="1">
          <reference field="4294967294" count="1" selected="0">
            <x v="0"/>
          </reference>
        </references>
      </pivotArea>
    </chartFormat>
    <chartFormat chart="13" format="39">
      <pivotArea type="data" outline="0" fieldPosition="0">
        <references count="2">
          <reference field="4294967294" count="1" selected="0">
            <x v="0"/>
          </reference>
          <reference field="26" count="1" selected="0">
            <x v="2"/>
          </reference>
        </references>
      </pivotArea>
    </chartFormat>
    <chartFormat chart="13" format="40">
      <pivotArea type="data" outline="0" fieldPosition="0">
        <references count="2">
          <reference field="4294967294" count="1" selected="0">
            <x v="0"/>
          </reference>
          <reference field="26" count="1" selected="0">
            <x v="3"/>
          </reference>
        </references>
      </pivotArea>
    </chartFormat>
    <chartFormat chart="13" format="41">
      <pivotArea type="data" outline="0" fieldPosition="0">
        <references count="2">
          <reference field="4294967294" count="1" selected="0">
            <x v="0"/>
          </reference>
          <reference field="26" count="1" selected="0">
            <x v="4"/>
          </reference>
        </references>
      </pivotArea>
    </chartFormat>
    <chartFormat chart="13" format="42">
      <pivotArea type="data" outline="0" fieldPosition="0">
        <references count="2">
          <reference field="4294967294" count="1" selected="0">
            <x v="0"/>
          </reference>
          <reference field="26" count="1" selected="0">
            <x v="5"/>
          </reference>
        </references>
      </pivotArea>
    </chartFormat>
    <chartFormat chart="13" format="43">
      <pivotArea type="data" outline="0" fieldPosition="0">
        <references count="2">
          <reference field="4294967294" count="1" selected="0">
            <x v="0"/>
          </reference>
          <reference field="26" count="1" selected="0">
            <x v="6"/>
          </reference>
        </references>
      </pivotArea>
    </chartFormat>
    <chartFormat chart="13" format="44">
      <pivotArea type="data" outline="0" fieldPosition="0">
        <references count="2">
          <reference field="4294967294" count="1" selected="0">
            <x v="0"/>
          </reference>
          <reference field="26" count="1" selected="0">
            <x v="7"/>
          </reference>
        </references>
      </pivotArea>
    </chartFormat>
    <chartFormat chart="13" format="45">
      <pivotArea type="data" outline="0" fieldPosition="0">
        <references count="2">
          <reference field="4294967294" count="1" selected="0">
            <x v="0"/>
          </reference>
          <reference field="26" count="1" selected="0">
            <x v="8"/>
          </reference>
        </references>
      </pivotArea>
    </chartFormat>
    <chartFormat chart="13" format="46">
      <pivotArea type="data" outline="0" fieldPosition="0">
        <references count="2">
          <reference field="4294967294" count="1" selected="0">
            <x v="0"/>
          </reference>
          <reference field="26" count="1" selected="0">
            <x v="9"/>
          </reference>
        </references>
      </pivotArea>
    </chartFormat>
    <chartFormat chart="20" format="56" series="1">
      <pivotArea type="data" outline="0" fieldPosition="0">
        <references count="1">
          <reference field="4294967294" count="1" selected="0">
            <x v="0"/>
          </reference>
        </references>
      </pivotArea>
    </chartFormat>
    <chartFormat chart="20" format="57">
      <pivotArea type="data" outline="0" fieldPosition="0">
        <references count="2">
          <reference field="4294967294" count="1" selected="0">
            <x v="0"/>
          </reference>
          <reference field="26" count="1" selected="0">
            <x v="2"/>
          </reference>
        </references>
      </pivotArea>
    </chartFormat>
    <chartFormat chart="20" format="58">
      <pivotArea type="data" outline="0" fieldPosition="0">
        <references count="2">
          <reference field="4294967294" count="1" selected="0">
            <x v="0"/>
          </reference>
          <reference field="26" count="1" selected="0">
            <x v="3"/>
          </reference>
        </references>
      </pivotArea>
    </chartFormat>
    <chartFormat chart="20" format="59">
      <pivotArea type="data" outline="0" fieldPosition="0">
        <references count="2">
          <reference field="4294967294" count="1" selected="0">
            <x v="0"/>
          </reference>
          <reference field="26" count="1" selected="0">
            <x v="4"/>
          </reference>
        </references>
      </pivotArea>
    </chartFormat>
    <chartFormat chart="20" format="60">
      <pivotArea type="data" outline="0" fieldPosition="0">
        <references count="2">
          <reference field="4294967294" count="1" selected="0">
            <x v="0"/>
          </reference>
          <reference field="26" count="1" selected="0">
            <x v="5"/>
          </reference>
        </references>
      </pivotArea>
    </chartFormat>
    <chartFormat chart="20" format="61">
      <pivotArea type="data" outline="0" fieldPosition="0">
        <references count="2">
          <reference field="4294967294" count="1" selected="0">
            <x v="0"/>
          </reference>
          <reference field="26" count="1" selected="0">
            <x v="6"/>
          </reference>
        </references>
      </pivotArea>
    </chartFormat>
    <chartFormat chart="20" format="62">
      <pivotArea type="data" outline="0" fieldPosition="0">
        <references count="2">
          <reference field="4294967294" count="1" selected="0">
            <x v="0"/>
          </reference>
          <reference field="26" count="1" selected="0">
            <x v="7"/>
          </reference>
        </references>
      </pivotArea>
    </chartFormat>
    <chartFormat chart="20" format="63">
      <pivotArea type="data" outline="0" fieldPosition="0">
        <references count="2">
          <reference field="4294967294" count="1" selected="0">
            <x v="0"/>
          </reference>
          <reference field="26" count="1" selected="0">
            <x v="8"/>
          </reference>
        </references>
      </pivotArea>
    </chartFormat>
    <chartFormat chart="20" format="64">
      <pivotArea type="data" outline="0" fieldPosition="0">
        <references count="2">
          <reference field="4294967294" count="1" selected="0">
            <x v="0"/>
          </reference>
          <reference field="26" count="1" selected="0">
            <x v="9"/>
          </reference>
        </references>
      </pivotArea>
    </chartFormat>
    <chartFormat chart="24" format="92" series="1">
      <pivotArea type="data" outline="0" fieldPosition="0">
        <references count="1">
          <reference field="4294967294" count="1" selected="0">
            <x v="0"/>
          </reference>
        </references>
      </pivotArea>
    </chartFormat>
    <chartFormat chart="24" format="93">
      <pivotArea type="data" outline="0" fieldPosition="0">
        <references count="2">
          <reference field="4294967294" count="1" selected="0">
            <x v="0"/>
          </reference>
          <reference field="26" count="1" selected="0">
            <x v="2"/>
          </reference>
        </references>
      </pivotArea>
    </chartFormat>
    <chartFormat chart="24" format="94">
      <pivotArea type="data" outline="0" fieldPosition="0">
        <references count="2">
          <reference field="4294967294" count="1" selected="0">
            <x v="0"/>
          </reference>
          <reference field="26" count="1" selected="0">
            <x v="3"/>
          </reference>
        </references>
      </pivotArea>
    </chartFormat>
    <chartFormat chart="24" format="95">
      <pivotArea type="data" outline="0" fieldPosition="0">
        <references count="2">
          <reference field="4294967294" count="1" selected="0">
            <x v="0"/>
          </reference>
          <reference field="26" count="1" selected="0">
            <x v="4"/>
          </reference>
        </references>
      </pivotArea>
    </chartFormat>
    <chartFormat chart="24" format="96">
      <pivotArea type="data" outline="0" fieldPosition="0">
        <references count="2">
          <reference field="4294967294" count="1" selected="0">
            <x v="0"/>
          </reference>
          <reference field="26" count="1" selected="0">
            <x v="5"/>
          </reference>
        </references>
      </pivotArea>
    </chartFormat>
    <chartFormat chart="24" format="97">
      <pivotArea type="data" outline="0" fieldPosition="0">
        <references count="2">
          <reference field="4294967294" count="1" selected="0">
            <x v="0"/>
          </reference>
          <reference field="26" count="1" selected="0">
            <x v="6"/>
          </reference>
        </references>
      </pivotArea>
    </chartFormat>
    <chartFormat chart="24" format="98">
      <pivotArea type="data" outline="0" fieldPosition="0">
        <references count="2">
          <reference field="4294967294" count="1" selected="0">
            <x v="0"/>
          </reference>
          <reference field="26" count="1" selected="0">
            <x v="7"/>
          </reference>
        </references>
      </pivotArea>
    </chartFormat>
    <chartFormat chart="24" format="99">
      <pivotArea type="data" outline="0" fieldPosition="0">
        <references count="2">
          <reference field="4294967294" count="1" selected="0">
            <x v="0"/>
          </reference>
          <reference field="26" count="1" selected="0">
            <x v="8"/>
          </reference>
        </references>
      </pivotArea>
    </chartFormat>
    <chartFormat chart="24" format="100">
      <pivotArea type="data" outline="0" fieldPosition="0">
        <references count="2">
          <reference field="4294967294" count="1" selected="0">
            <x v="0"/>
          </reference>
          <reference field="26" count="1" selected="0">
            <x v="9"/>
          </reference>
        </references>
      </pivotArea>
    </chartFormat>
    <chartFormat chart="24" format="101">
      <pivotArea type="data" outline="0" fieldPosition="0">
        <references count="2">
          <reference field="4294967294" count="1" selected="0">
            <x v="0"/>
          </reference>
          <reference field="26" count="1" selected="0">
            <x v="13"/>
          </reference>
        </references>
      </pivotArea>
    </chartFormat>
    <chartFormat chart="24" format="102">
      <pivotArea type="data" outline="0" fieldPosition="0">
        <references count="2">
          <reference field="4294967294" count="1" selected="0">
            <x v="0"/>
          </reference>
          <reference field="26" count="1" selected="0">
            <x v="12"/>
          </reference>
        </references>
      </pivotArea>
    </chartFormat>
    <chartFormat chart="24" format="103">
      <pivotArea type="data" outline="0" fieldPosition="0">
        <references count="2">
          <reference field="4294967294" count="1" selected="0">
            <x v="0"/>
          </reference>
          <reference field="26" count="1" selected="0">
            <x v="11"/>
          </reference>
        </references>
      </pivotArea>
    </chartFormat>
    <chartFormat chart="24" format="104">
      <pivotArea type="data" outline="0" fieldPosition="0">
        <references count="2">
          <reference field="4294967294" count="1" selected="0">
            <x v="0"/>
          </reference>
          <reference field="26"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E41E3B-1641-480F-AC4B-E29EAA7225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
        <item x="0"/>
        <item t="default"/>
      </items>
    </pivotField>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3"/>
  </rowFields>
  <rowItems count="11">
    <i>
      <x v="11"/>
    </i>
    <i>
      <x v="3"/>
    </i>
    <i>
      <x v="14"/>
    </i>
    <i>
      <x v="10"/>
    </i>
    <i>
      <x v="9"/>
    </i>
    <i>
      <x/>
    </i>
    <i>
      <x v="6"/>
    </i>
    <i>
      <x v="2"/>
    </i>
    <i>
      <x v="8"/>
    </i>
    <i>
      <x v="5"/>
    </i>
    <i t="grand">
      <x/>
    </i>
  </rowItems>
  <colItems count="1">
    <i/>
  </colItems>
  <dataFields count="1">
    <dataField name="Sum of Revenue" fld="24" baseField="0" baseItem="0" numFmtId="166"/>
  </dataField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3" count="1" selected="0">
            <x v="2"/>
          </reference>
        </references>
      </pivotArea>
    </chartFormat>
    <chartFormat chart="9" format="23">
      <pivotArea type="data" outline="0" fieldPosition="0">
        <references count="2">
          <reference field="4294967294" count="1" selected="0">
            <x v="0"/>
          </reference>
          <reference field="3" count="1" selected="0">
            <x v="6"/>
          </reference>
        </references>
      </pivotArea>
    </chartFormat>
    <chartFormat chart="9" format="24">
      <pivotArea type="data" outline="0" fieldPosition="0">
        <references count="2">
          <reference field="4294967294" count="1" selected="0">
            <x v="0"/>
          </reference>
          <reference field="3" count="1" selected="0">
            <x v="0"/>
          </reference>
        </references>
      </pivotArea>
    </chartFormat>
    <chartFormat chart="9" format="25">
      <pivotArea type="data" outline="0" fieldPosition="0">
        <references count="2">
          <reference field="4294967294" count="1" selected="0">
            <x v="0"/>
          </reference>
          <reference field="3" count="1" selected="0">
            <x v="9"/>
          </reference>
        </references>
      </pivotArea>
    </chartFormat>
    <chartFormat chart="9" format="26">
      <pivotArea type="data" outline="0" fieldPosition="0">
        <references count="2">
          <reference field="4294967294" count="1" selected="0">
            <x v="0"/>
          </reference>
          <reference field="3" count="1" selected="0">
            <x v="10"/>
          </reference>
        </references>
      </pivotArea>
    </chartFormat>
    <chartFormat chart="9" format="27">
      <pivotArea type="data" outline="0" fieldPosition="0">
        <references count="2">
          <reference field="4294967294" count="1" selected="0">
            <x v="0"/>
          </reference>
          <reference field="3" count="1" selected="0">
            <x v="14"/>
          </reference>
        </references>
      </pivotArea>
    </chartFormat>
    <chartFormat chart="9" format="28">
      <pivotArea type="data" outline="0" fieldPosition="0">
        <references count="2">
          <reference field="4294967294" count="1" selected="0">
            <x v="0"/>
          </reference>
          <reference field="3" count="1" selected="0">
            <x v="3"/>
          </reference>
        </references>
      </pivotArea>
    </chartFormat>
    <chartFormat chart="9" format="29">
      <pivotArea type="data" outline="0" fieldPosition="0">
        <references count="2">
          <reference field="4294967294" count="1" selected="0">
            <x v="0"/>
          </reference>
          <reference field="3" count="1" selected="0">
            <x v="11"/>
          </reference>
        </references>
      </pivotArea>
    </chartFormat>
    <chartFormat chart="9" format="30">
      <pivotArea type="data" outline="0" fieldPosition="0">
        <references count="2">
          <reference field="4294967294" count="1" selected="0">
            <x v="0"/>
          </reference>
          <reference field="3" count="1" selected="0">
            <x v="5"/>
          </reference>
        </references>
      </pivotArea>
    </chartFormat>
    <chartFormat chart="9" format="3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73FD11-5505-4C87-B434-FFFD6BFD70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2"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items count="2">
        <item x="0"/>
        <item t="default"/>
      </items>
    </pivotField>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9"/>
  </rowFields>
  <rowItems count="9">
    <i>
      <x v="6"/>
    </i>
    <i>
      <x v="1"/>
    </i>
    <i>
      <x/>
    </i>
    <i>
      <x v="4"/>
    </i>
    <i>
      <x v="3"/>
    </i>
    <i>
      <x v="5"/>
    </i>
    <i>
      <x v="7"/>
    </i>
    <i>
      <x v="2"/>
    </i>
    <i t="grand">
      <x/>
    </i>
  </rowItems>
  <colItems count="1">
    <i/>
  </colItems>
  <dataFields count="1">
    <dataField name="Sum of Revenue" fld="24" baseField="0" baseItem="0" numFmtId="166"/>
  </dataFields>
  <chartFormats count="2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4"/>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5"/>
          </reference>
        </references>
      </pivotArea>
    </chartFormat>
    <chartFormat chart="5" format="13">
      <pivotArea type="data" outline="0" fieldPosition="0">
        <references count="2">
          <reference field="4294967294" count="1" selected="0">
            <x v="0"/>
          </reference>
          <reference field="9" count="1" selected="0">
            <x v="7"/>
          </reference>
        </references>
      </pivotArea>
    </chartFormat>
    <chartFormat chart="5" format="14">
      <pivotArea type="data" outline="0" fieldPosition="0">
        <references count="2">
          <reference field="4294967294" count="1" selected="0">
            <x v="0"/>
          </reference>
          <reference field="9" count="1" selected="0">
            <x v="2"/>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9" count="1" selected="0">
            <x v="0"/>
          </reference>
        </references>
      </pivotArea>
    </chartFormat>
    <chartFormat chart="10" format="24">
      <pivotArea type="data" outline="0" fieldPosition="0">
        <references count="2">
          <reference field="4294967294" count="1" selected="0">
            <x v="0"/>
          </reference>
          <reference field="9" count="1" selected="0">
            <x v="4"/>
          </reference>
        </references>
      </pivotArea>
    </chartFormat>
    <chartFormat chart="10" format="25">
      <pivotArea type="data" outline="0" fieldPosition="0">
        <references count="2">
          <reference field="4294967294" count="1" selected="0">
            <x v="0"/>
          </reference>
          <reference field="9" count="1" selected="0">
            <x v="3"/>
          </reference>
        </references>
      </pivotArea>
    </chartFormat>
    <chartFormat chart="10" format="26">
      <pivotArea type="data" outline="0" fieldPosition="0">
        <references count="2">
          <reference field="4294967294" count="1" selected="0">
            <x v="0"/>
          </reference>
          <reference field="9" count="1" selected="0">
            <x v="5"/>
          </reference>
        </references>
      </pivotArea>
    </chartFormat>
    <chartFormat chart="10" format="27">
      <pivotArea type="data" outline="0" fieldPosition="0">
        <references count="2">
          <reference field="4294967294" count="1" selected="0">
            <x v="0"/>
          </reference>
          <reference field="9" count="1" selected="0">
            <x v="7"/>
          </reference>
        </references>
      </pivotArea>
    </chartFormat>
    <chartFormat chart="10" format="28">
      <pivotArea type="data" outline="0" fieldPosition="0">
        <references count="2">
          <reference field="4294967294" count="1" selected="0">
            <x v="0"/>
          </reference>
          <reference field="9" count="1" selected="0">
            <x v="2"/>
          </reference>
        </references>
      </pivotArea>
    </chartFormat>
    <chartFormat chart="14" format="50" series="1">
      <pivotArea type="data" outline="0" fieldPosition="0">
        <references count="1">
          <reference field="4294967294" count="1" selected="0">
            <x v="0"/>
          </reference>
        </references>
      </pivotArea>
    </chartFormat>
    <chartFormat chart="14" format="51">
      <pivotArea type="data" outline="0" fieldPosition="0">
        <references count="2">
          <reference field="4294967294" count="1" selected="0">
            <x v="0"/>
          </reference>
          <reference field="9" count="1" selected="0">
            <x v="0"/>
          </reference>
        </references>
      </pivotArea>
    </chartFormat>
    <chartFormat chart="14" format="52">
      <pivotArea type="data" outline="0" fieldPosition="0">
        <references count="2">
          <reference field="4294967294" count="1" selected="0">
            <x v="0"/>
          </reference>
          <reference field="9" count="1" selected="0">
            <x v="4"/>
          </reference>
        </references>
      </pivotArea>
    </chartFormat>
    <chartFormat chart="14" format="53">
      <pivotArea type="data" outline="0" fieldPosition="0">
        <references count="2">
          <reference field="4294967294" count="1" selected="0">
            <x v="0"/>
          </reference>
          <reference field="9" count="1" selected="0">
            <x v="3"/>
          </reference>
        </references>
      </pivotArea>
    </chartFormat>
    <chartFormat chart="14" format="54">
      <pivotArea type="data" outline="0" fieldPosition="0">
        <references count="2">
          <reference field="4294967294" count="1" selected="0">
            <x v="0"/>
          </reference>
          <reference field="9" count="1" selected="0">
            <x v="5"/>
          </reference>
        </references>
      </pivotArea>
    </chartFormat>
    <chartFormat chart="14" format="55">
      <pivotArea type="data" outline="0" fieldPosition="0">
        <references count="2">
          <reference field="4294967294" count="1" selected="0">
            <x v="0"/>
          </reference>
          <reference field="9" count="1" selected="0">
            <x v="7"/>
          </reference>
        </references>
      </pivotArea>
    </chartFormat>
    <chartFormat chart="14" format="56">
      <pivotArea type="data" outline="0" fieldPosition="0">
        <references count="2">
          <reference field="4294967294" count="1" selected="0">
            <x v="0"/>
          </reference>
          <reference field="9" count="1" selected="0">
            <x v="2"/>
          </reference>
        </references>
      </pivotArea>
    </chartFormat>
    <chartFormat chart="5" format="15">
      <pivotArea type="data" outline="0" fieldPosition="0">
        <references count="2">
          <reference field="4294967294" count="1" selected="0">
            <x v="0"/>
          </reference>
          <reference field="9" count="1" selected="0">
            <x v="6"/>
          </reference>
        </references>
      </pivotArea>
    </chartFormat>
    <chartFormat chart="5" format="1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5084FFD-2B68-44E5-8A40-B1FAB97FD878}" sourceName="Salesperson">
  <pivotTables>
    <pivotTable tabId="20" name="PivotTable1"/>
    <pivotTable tabId="27" name="PivotTable1"/>
    <pivotTable tabId="25" name="PivotTable1"/>
    <pivotTable tabId="21" name="PivotTable1"/>
    <pivotTable tabId="24" name="PivotTable1"/>
    <pivotTable tabId="26" name="PivotTable1"/>
    <pivotTable tabId="22" name="PivotTable1"/>
    <pivotTable tabId="28" name="PivotTable1"/>
    <pivotTable tabId="29" name="PivotTable1"/>
  </pivotTables>
  <data>
    <tabular pivotCacheId="1452205922">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F201B3D-01A9-4178-9193-36C6B0D8F6DB}" sourceName="Product Name">
  <pivotTables>
    <pivotTable tabId="24" name="PivotTable1"/>
    <pivotTable tabId="27" name="PivotTable1"/>
    <pivotTable tabId="25" name="PivotTable1"/>
    <pivotTable tabId="20" name="PivotTable1"/>
    <pivotTable tabId="21" name="PivotTable1"/>
    <pivotTable tabId="26" name="PivotTable1"/>
    <pivotTable tabId="22" name="PivotTable1"/>
    <pivotTable tabId="28" name="PivotTable1"/>
    <pivotTable tabId="29" name="PivotTable1"/>
  </pivotTables>
  <data>
    <tabular pivotCacheId="145220592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4AA452CA-7E1C-46E6-B7B6-12280141BB03}" cache="Slicer_Salesperson" caption="Salesperson" startItem="4" columnCount="4" showCaption="0" style="Da angels 3" rowHeight="234950"/>
  <slicer name="Product Name" xr10:uid="{E1A8382F-787C-45D7-A514-F326B6662348}" cache="Slicer_Product_Name" caption="Product Name" columnCount="4" showCaption="0" style="SlicerStyleOther1 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2EAA18E0-E681-46A9-9D2C-3E040B583807}" cache="Slicer_Salesperson" caption="Salesperson" style="Da angels 3" rowHeight="234950"/>
  <slicer name="Product Name 2" xr10:uid="{957CBA29-ECE4-4BCC-901A-B204BFB8B16F}" cache="Slicer_Product_Name" caption="Product" startItem="6" style="Da angels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8FE9F1-FD31-4282-8506-BC6866C0F6A5}" name="Table1" displayName="Table1" ref="A1:Z370" totalsRowShown="0" headerRowDxfId="4">
  <autoFilter ref="A1:Z370" xr:uid="{00000000-0009-0000-0000-000007000000}"/>
  <tableColumns count="26">
    <tableColumn id="1" xr3:uid="{71514BD7-2B48-4930-B853-0E73130FDDB0}" name="Order ID"/>
    <tableColumn id="2" xr3:uid="{EF330041-B514-4E6B-A156-2085AB885532}" name="Order Date" dataDxfId="3"/>
    <tableColumn id="3" xr3:uid="{71F87582-AB4D-41F9-A7C4-FB92642C654C}" name="Customer ID"/>
    <tableColumn id="4" xr3:uid="{97E1C7B1-6172-429D-8B26-3F42F24A8A96}" name="Customer Name"/>
    <tableColumn id="5" xr3:uid="{1D8ED652-B584-4714-822F-CD34E7556D15}" name="Address"/>
    <tableColumn id="6" xr3:uid="{38C46186-7AE0-41DB-B613-D42FD36A8F6C}" name="City"/>
    <tableColumn id="7" xr3:uid="{3B189CDB-EE05-4EF6-9BB7-E6BA56C01A1F}" name="State"/>
    <tableColumn id="8" xr3:uid="{E6D0CD81-339A-46BD-B9CF-5F5FDAAA742B}" name="ZIP/Postal Code"/>
    <tableColumn id="9" xr3:uid="{C007909F-BD2B-4AF7-BFE9-B0162C35D251}" name="Country/Region"/>
    <tableColumn id="10" xr3:uid="{70F9063E-F6DC-4954-9934-55B7105FB3E0}" name="Salesperson"/>
    <tableColumn id="11" xr3:uid="{913F743A-C65C-49F6-A451-7544A4F62684}" name="Region"/>
    <tableColumn id="12" xr3:uid="{210A27D9-DC44-4522-9009-604B028CF2CA}" name="Shipped Date" dataDxfId="2"/>
    <tableColumn id="13" xr3:uid="{D3B12E34-B0F1-4217-A96D-DADD06D43CB3}" name="Shipper Name"/>
    <tableColumn id="14" xr3:uid="{6963AEE3-D835-43A5-AB33-1FD74FFC71C8}" name="Ship Name"/>
    <tableColumn id="15" xr3:uid="{E760A7ED-23B2-49D1-8E31-8F79C51D3CF2}" name="Ship Address"/>
    <tableColumn id="16" xr3:uid="{47394F67-8C7C-44B0-9A7D-4100BE984D2F}" name="Ship City"/>
    <tableColumn id="17" xr3:uid="{66EADFC3-E858-4925-A455-CAC743AA8AFC}" name="Ship State"/>
    <tableColumn id="18" xr3:uid="{2862519C-4231-4602-9FE3-E6B3B79AF88D}" name="Ship ZIP/Postal Code"/>
    <tableColumn id="19" xr3:uid="{C277C2F2-631D-4CFA-81BF-5CB660DB19B6}" name="Ship Country/Region"/>
    <tableColumn id="20" xr3:uid="{9869CA11-0E42-4368-8BC0-A84FBECC858D}" name="Payment Type"/>
    <tableColumn id="21" xr3:uid="{7D620285-A67D-4550-8A0F-BC093FD16F2D}" name="Product Name"/>
    <tableColumn id="22" xr3:uid="{3ACF72B3-C000-4341-AE51-82CC990626DC}" name="Category"/>
    <tableColumn id="23" xr3:uid="{D867D4DF-955B-4CAD-BBBF-8CDB49BB6288}" name="Unit Price"/>
    <tableColumn id="24" xr3:uid="{79EE88BD-7214-4C69-ABD7-4A478B89182B}" name="Quantity"/>
    <tableColumn id="25" xr3:uid="{C6F76E83-2C48-4409-B993-886004211005}" name="Revenue" dataDxfId="1" dataCellStyle="Currency"/>
    <tableColumn id="26" xr3:uid="{49AEA92B-14CF-4AF2-BD23-5649E1B95BED}" name="Shipping Fe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www.excelcampus.com/pivot-tables/pivot-tables-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workbookViewId="0">
      <selection activeCell="A12" sqref="A12"/>
    </sheetView>
  </sheetViews>
  <sheetFormatPr defaultRowHeight="14.4" x14ac:dyDescent="0.3"/>
  <cols>
    <col min="1" max="1" width="66.44140625" customWidth="1"/>
    <col min="3" max="3" width="9.109375" customWidth="1"/>
  </cols>
  <sheetData>
    <row r="2" spans="1:1" ht="21" x14ac:dyDescent="0.4">
      <c r="A2" s="7" t="s">
        <v>161</v>
      </c>
    </row>
    <row r="3" spans="1:1" ht="68.25" customHeight="1" x14ac:dyDescent="0.3">
      <c r="A3" s="9" t="s">
        <v>162</v>
      </c>
    </row>
    <row r="4" spans="1:1" ht="21" x14ac:dyDescent="0.4">
      <c r="A4" s="8" t="s">
        <v>156</v>
      </c>
    </row>
    <row r="5" spans="1:1" ht="21" x14ac:dyDescent="0.4">
      <c r="A5" s="8" t="s">
        <v>157</v>
      </c>
    </row>
    <row r="6" spans="1:1" ht="21" x14ac:dyDescent="0.4">
      <c r="A6" s="8" t="s">
        <v>158</v>
      </c>
    </row>
    <row r="7" spans="1:1" ht="21" x14ac:dyDescent="0.4">
      <c r="A7" s="8" t="s">
        <v>159</v>
      </c>
    </row>
    <row r="8" spans="1:1" ht="21" x14ac:dyDescent="0.4">
      <c r="A8" s="8" t="s">
        <v>160</v>
      </c>
    </row>
    <row r="9" spans="1:1" ht="21" x14ac:dyDescent="0.4">
      <c r="A9" s="8" t="s">
        <v>164</v>
      </c>
    </row>
    <row r="10" spans="1:1" ht="21" x14ac:dyDescent="0.4">
      <c r="A10" s="8" t="s">
        <v>165</v>
      </c>
    </row>
    <row r="11" spans="1:1" ht="21" x14ac:dyDescent="0.4">
      <c r="A11" s="8" t="s">
        <v>166</v>
      </c>
    </row>
    <row r="12" spans="1:1" ht="21" x14ac:dyDescent="0.4">
      <c r="A12" s="13" t="s">
        <v>183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0E9B1-6D9F-4A31-ACF1-F119FAD10819}">
  <dimension ref="A1"/>
  <sheetViews>
    <sheetView showGridLines="0" tabSelected="1" zoomScale="80" zoomScaleNormal="80" workbookViewId="0">
      <selection activeCell="G37" sqref="G37"/>
    </sheetView>
  </sheetViews>
  <sheetFormatPr defaultRowHeight="14.4" x14ac:dyDescent="0.3"/>
  <cols>
    <col min="1" max="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8ED3-202D-44D2-9681-F661988BCEBE}">
  <dimension ref="A1"/>
  <sheetViews>
    <sheetView showGridLines="0" zoomScale="80" zoomScaleNormal="80" workbookViewId="0">
      <selection activeCell="AC17" sqref="AC1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B859-0B75-4528-A028-03A5DFF601F9}">
  <dimension ref="A1"/>
  <sheetViews>
    <sheetView showGridLines="0" zoomScale="80" zoomScaleNormal="80" workbookViewId="0">
      <selection activeCell="AC31" sqref="AC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8EDD-BC01-4146-B957-AF1472F11BDD}">
  <dimension ref="B2:F21"/>
  <sheetViews>
    <sheetView showGridLines="0" zoomScaleNormal="100" workbookViewId="0">
      <selection activeCell="H6" sqref="H6"/>
    </sheetView>
  </sheetViews>
  <sheetFormatPr defaultColWidth="8.6640625" defaultRowHeight="14.4" x14ac:dyDescent="0.3"/>
  <cols>
    <col min="1" max="1" width="2.44140625" style="15" customWidth="1"/>
    <col min="2" max="2" width="20" style="15" customWidth="1"/>
    <col min="3" max="3" width="40" style="15" customWidth="1"/>
    <col min="4" max="4" width="42" style="15" customWidth="1"/>
    <col min="5" max="5" width="11" style="15" customWidth="1"/>
    <col min="6" max="6" width="22" style="15" customWidth="1"/>
    <col min="7" max="7" width="2.44140625" style="15" customWidth="1"/>
    <col min="8" max="16384" width="8.6640625" style="15"/>
  </cols>
  <sheetData>
    <row r="2" spans="2:6" ht="37.5" customHeight="1" x14ac:dyDescent="0.3">
      <c r="B2" s="25" t="s">
        <v>236</v>
      </c>
      <c r="C2" s="25"/>
      <c r="D2" s="25"/>
      <c r="E2" s="25"/>
      <c r="F2" s="25"/>
    </row>
    <row r="3" spans="2:6" ht="21.75" customHeight="1" x14ac:dyDescent="0.3">
      <c r="B3" s="26" t="s">
        <v>235</v>
      </c>
      <c r="C3" s="27"/>
      <c r="D3" s="27"/>
      <c r="E3" s="27"/>
      <c r="F3" s="27"/>
    </row>
    <row r="5" spans="2:6" ht="18" customHeight="1" x14ac:dyDescent="0.3">
      <c r="B5"/>
      <c r="C5"/>
      <c r="D5"/>
      <c r="E5"/>
      <c r="F5"/>
    </row>
    <row r="6" spans="2:6" ht="31.5" customHeight="1" x14ac:dyDescent="0.3">
      <c r="B6" s="21" t="s">
        <v>234</v>
      </c>
      <c r="C6" s="21" t="s">
        <v>238</v>
      </c>
      <c r="D6" s="21" t="s">
        <v>239</v>
      </c>
      <c r="E6" s="21" t="s">
        <v>233</v>
      </c>
      <c r="F6" s="21" t="s">
        <v>232</v>
      </c>
    </row>
    <row r="7" spans="2:6" ht="52.8" x14ac:dyDescent="0.3">
      <c r="B7" s="23" t="s">
        <v>231</v>
      </c>
      <c r="C7" s="24" t="s">
        <v>230</v>
      </c>
      <c r="D7" s="24" t="s">
        <v>229</v>
      </c>
      <c r="E7" s="20" t="s">
        <v>216</v>
      </c>
      <c r="F7" s="16" t="s">
        <v>228</v>
      </c>
    </row>
    <row r="8" spans="2:6" ht="66" x14ac:dyDescent="0.3">
      <c r="B8" s="22" t="s">
        <v>227</v>
      </c>
      <c r="C8" s="18" t="s">
        <v>237</v>
      </c>
      <c r="D8" s="18" t="s">
        <v>226</v>
      </c>
      <c r="E8" s="20" t="s">
        <v>216</v>
      </c>
      <c r="F8" s="16" t="s">
        <v>207</v>
      </c>
    </row>
    <row r="9" spans="2:6" ht="52.8" x14ac:dyDescent="0.3">
      <c r="B9" s="23" t="s">
        <v>225</v>
      </c>
      <c r="C9" s="24" t="s">
        <v>224</v>
      </c>
      <c r="D9" s="24" t="s">
        <v>223</v>
      </c>
      <c r="E9" s="20" t="s">
        <v>216</v>
      </c>
      <c r="F9" s="16" t="s">
        <v>222</v>
      </c>
    </row>
    <row r="10" spans="2:6" ht="61.5" customHeight="1" x14ac:dyDescent="0.3">
      <c r="B10" s="22" t="s">
        <v>221</v>
      </c>
      <c r="C10" s="18" t="s">
        <v>240</v>
      </c>
      <c r="D10" s="18" t="s">
        <v>220</v>
      </c>
      <c r="E10" s="19" t="s">
        <v>199</v>
      </c>
      <c r="F10" s="16" t="s">
        <v>219</v>
      </c>
    </row>
    <row r="11" spans="2:6" ht="61.5" customHeight="1" x14ac:dyDescent="0.3">
      <c r="B11" s="23" t="s">
        <v>218</v>
      </c>
      <c r="C11" s="24" t="s">
        <v>241</v>
      </c>
      <c r="D11" s="24" t="s">
        <v>217</v>
      </c>
      <c r="E11" s="20" t="s">
        <v>216</v>
      </c>
      <c r="F11" s="16" t="s">
        <v>215</v>
      </c>
    </row>
    <row r="12" spans="2:6" ht="61.5" customHeight="1" x14ac:dyDescent="0.3">
      <c r="B12" s="22" t="s">
        <v>214</v>
      </c>
      <c r="C12" s="18" t="s">
        <v>213</v>
      </c>
      <c r="D12" s="18" t="s">
        <v>212</v>
      </c>
      <c r="E12" s="19" t="s">
        <v>199</v>
      </c>
      <c r="F12" s="16" t="s">
        <v>211</v>
      </c>
    </row>
    <row r="13" spans="2:6" ht="61.5" customHeight="1" x14ac:dyDescent="0.3">
      <c r="B13" s="23" t="s">
        <v>210</v>
      </c>
      <c r="C13" s="24" t="s">
        <v>209</v>
      </c>
      <c r="D13" s="24" t="s">
        <v>208</v>
      </c>
      <c r="E13" s="19" t="s">
        <v>199</v>
      </c>
      <c r="F13" s="16" t="s">
        <v>207</v>
      </c>
    </row>
    <row r="14" spans="2:6" ht="61.5" customHeight="1" x14ac:dyDescent="0.3">
      <c r="B14" s="22" t="s">
        <v>206</v>
      </c>
      <c r="C14" s="18" t="s">
        <v>205</v>
      </c>
      <c r="D14" s="18" t="s">
        <v>204</v>
      </c>
      <c r="E14" s="17" t="s">
        <v>194</v>
      </c>
      <c r="F14" s="16" t="s">
        <v>203</v>
      </c>
    </row>
    <row r="15" spans="2:6" ht="61.5" customHeight="1" x14ac:dyDescent="0.3">
      <c r="B15" s="23" t="s">
        <v>202</v>
      </c>
      <c r="C15" s="24" t="s">
        <v>201</v>
      </c>
      <c r="D15" s="24" t="s">
        <v>200</v>
      </c>
      <c r="E15" s="19" t="s">
        <v>199</v>
      </c>
      <c r="F15" s="16" t="s">
        <v>198</v>
      </c>
    </row>
    <row r="16" spans="2:6" ht="61.5" customHeight="1" x14ac:dyDescent="0.3">
      <c r="B16" s="22" t="s">
        <v>197</v>
      </c>
      <c r="C16" s="18" t="s">
        <v>196</v>
      </c>
      <c r="D16" s="18" t="s">
        <v>195</v>
      </c>
      <c r="E16" s="17" t="s">
        <v>194</v>
      </c>
      <c r="F16" s="16" t="s">
        <v>193</v>
      </c>
    </row>
    <row r="17" spans="2:6" ht="61.5" customHeight="1" x14ac:dyDescent="0.3">
      <c r="B17" s="28"/>
      <c r="C17" s="28"/>
      <c r="D17" s="28"/>
      <c r="E17" s="28"/>
      <c r="F17" s="28"/>
    </row>
    <row r="18" spans="2:6" ht="61.5" customHeight="1" x14ac:dyDescent="0.3"/>
    <row r="19" spans="2:6" ht="61.5" customHeight="1" x14ac:dyDescent="0.3"/>
    <row r="21" spans="2:6" ht="30" customHeight="1" x14ac:dyDescent="0.3"/>
  </sheetData>
  <mergeCells count="3">
    <mergeCell ref="B2:F2"/>
    <mergeCell ref="B3:F3"/>
    <mergeCell ref="B17:F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142B-8D2D-4CF6-82F9-E50E68CA6D31}">
  <dimension ref="A1"/>
  <sheetViews>
    <sheetView showGridLines="0" zoomScale="90" zoomScaleNormal="90"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778A-59AF-4911-AC87-BEF706821B23}">
  <dimension ref="A1"/>
  <sheetViews>
    <sheetView showGridLines="0" topLeftCell="A7" zoomScale="70" zoomScaleNormal="70" workbookViewId="0">
      <selection activeCell="Q23" sqref="Q23"/>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3C1B-89CB-42DF-99BB-2CCE7DBE927B}">
  <dimension ref="A1"/>
  <sheetViews>
    <sheetView showGridLines="0" workbookViewId="0">
      <selection activeCell="H25" sqref="H25"/>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9EFB7-C602-410D-97A7-53C4F1AD64E5}">
  <dimension ref="A1"/>
  <sheetViews>
    <sheetView showGridLines="0" zoomScale="80" zoomScaleNormal="80" workbookViewId="0">
      <selection activeCell="AD2" sqref="AD2"/>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C40D-B650-486F-8199-92A55C011A80}">
  <dimension ref="A3:B11"/>
  <sheetViews>
    <sheetView zoomScale="53" zoomScaleNormal="70" workbookViewId="0">
      <selection activeCell="V37" sqref="V37"/>
    </sheetView>
  </sheetViews>
  <sheetFormatPr defaultRowHeight="14.4" x14ac:dyDescent="0.3"/>
  <cols>
    <col min="1" max="1" width="13.88671875" bestFit="1" customWidth="1"/>
    <col min="2" max="2" width="16.77734375" bestFit="1" customWidth="1"/>
  </cols>
  <sheetData>
    <row r="3" spans="1:2" x14ac:dyDescent="0.3">
      <c r="A3" s="10" t="s">
        <v>167</v>
      </c>
      <c r="B3" t="s">
        <v>192</v>
      </c>
    </row>
    <row r="4" spans="1:2" x14ac:dyDescent="0.3">
      <c r="A4" s="14" t="s">
        <v>185</v>
      </c>
      <c r="B4">
        <v>221</v>
      </c>
    </row>
    <row r="5" spans="1:2" x14ac:dyDescent="0.3">
      <c r="A5" s="14" t="s">
        <v>186</v>
      </c>
      <c r="B5">
        <v>82</v>
      </c>
    </row>
    <row r="6" spans="1:2" x14ac:dyDescent="0.3">
      <c r="A6" s="14" t="s">
        <v>187</v>
      </c>
      <c r="B6">
        <v>32</v>
      </c>
    </row>
    <row r="7" spans="1:2" x14ac:dyDescent="0.3">
      <c r="A7" s="14" t="s">
        <v>188</v>
      </c>
      <c r="B7">
        <v>23</v>
      </c>
    </row>
    <row r="8" spans="1:2" x14ac:dyDescent="0.3">
      <c r="A8" s="14" t="s">
        <v>189</v>
      </c>
      <c r="B8">
        <v>8</v>
      </c>
    </row>
    <row r="9" spans="1:2" x14ac:dyDescent="0.3">
      <c r="A9" s="14" t="s">
        <v>190</v>
      </c>
      <c r="B9">
        <v>2</v>
      </c>
    </row>
    <row r="10" spans="1:2" x14ac:dyDescent="0.3">
      <c r="A10" s="14" t="s">
        <v>191</v>
      </c>
      <c r="B10">
        <v>1</v>
      </c>
    </row>
    <row r="11" spans="1:2" x14ac:dyDescent="0.3">
      <c r="A11" s="14" t="s">
        <v>168</v>
      </c>
      <c r="B11">
        <v>369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FA6D-6002-422B-A152-4419B704FDCA}">
  <dimension ref="A3:E10"/>
  <sheetViews>
    <sheetView workbookViewId="0">
      <selection activeCell="P14" sqref="P14"/>
    </sheetView>
  </sheetViews>
  <sheetFormatPr defaultRowHeight="14.4" x14ac:dyDescent="0.3"/>
  <cols>
    <col min="1" max="1" width="15.5546875" bestFit="1" customWidth="1"/>
    <col min="2" max="2" width="14.88671875" bestFit="1" customWidth="1"/>
    <col min="3" max="3" width="8.88671875" customWidth="1"/>
    <col min="4" max="4" width="15.5546875" bestFit="1" customWidth="1"/>
    <col min="5" max="5" width="14.88671875" bestFit="1" customWidth="1"/>
  </cols>
  <sheetData>
    <row r="3" spans="1:5" x14ac:dyDescent="0.3">
      <c r="A3" s="10" t="s">
        <v>167</v>
      </c>
      <c r="B3" t="s">
        <v>169</v>
      </c>
      <c r="D3" s="12" t="s">
        <v>182</v>
      </c>
      <c r="E3" s="12" t="s">
        <v>169</v>
      </c>
    </row>
    <row r="4" spans="1:5" x14ac:dyDescent="0.3">
      <c r="A4" s="11" t="s">
        <v>37</v>
      </c>
      <c r="B4" s="3">
        <v>110577.10999999999</v>
      </c>
      <c r="D4" s="11" t="s">
        <v>37</v>
      </c>
      <c r="E4" s="3">
        <v>110577.10999999999</v>
      </c>
    </row>
    <row r="5" spans="1:5" x14ac:dyDescent="0.3">
      <c r="A5" s="11" t="s">
        <v>124</v>
      </c>
      <c r="B5" s="3">
        <v>25465.599999999999</v>
      </c>
      <c r="D5" s="11" t="s">
        <v>89</v>
      </c>
      <c r="E5" s="3">
        <v>69000</v>
      </c>
    </row>
    <row r="6" spans="1:5" x14ac:dyDescent="0.3">
      <c r="A6" s="11" t="s">
        <v>134</v>
      </c>
      <c r="B6" s="3">
        <v>33129.600000000006</v>
      </c>
      <c r="D6" s="11" t="s">
        <v>110</v>
      </c>
      <c r="E6" s="3">
        <v>51541</v>
      </c>
    </row>
    <row r="7" spans="1:5" x14ac:dyDescent="0.3">
      <c r="A7" s="11" t="s">
        <v>39</v>
      </c>
      <c r="B7" s="3">
        <v>27999.5</v>
      </c>
      <c r="D7" s="11" t="s">
        <v>134</v>
      </c>
      <c r="E7" s="3">
        <v>33129.600000000006</v>
      </c>
    </row>
    <row r="8" spans="1:5" x14ac:dyDescent="0.3">
      <c r="A8" s="11" t="s">
        <v>110</v>
      </c>
      <c r="B8" s="3">
        <v>51541</v>
      </c>
      <c r="D8" s="11" t="s">
        <v>39</v>
      </c>
      <c r="E8" s="3">
        <v>27999.5</v>
      </c>
    </row>
    <row r="9" spans="1:5" x14ac:dyDescent="0.3">
      <c r="A9" s="11" t="s">
        <v>89</v>
      </c>
      <c r="B9" s="3">
        <v>69000</v>
      </c>
      <c r="D9" s="11" t="s">
        <v>124</v>
      </c>
      <c r="E9" s="3">
        <v>25465.599999999999</v>
      </c>
    </row>
    <row r="10" spans="1:5" x14ac:dyDescent="0.3">
      <c r="A10" s="11" t="s">
        <v>168</v>
      </c>
      <c r="B10" s="3">
        <v>317712.81</v>
      </c>
    </row>
  </sheetData>
  <sortState xmlns:xlrd2="http://schemas.microsoft.com/office/spreadsheetml/2017/richdata2" ref="D4:E9">
    <sortCondition descending="1" ref="E7:E9"/>
  </sortState>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EE506-1D5A-4F96-AB82-4D309C7F79E7}">
  <dimension ref="A3:Q10"/>
  <sheetViews>
    <sheetView workbookViewId="0">
      <selection activeCell="N27" sqref="N27"/>
    </sheetView>
  </sheetViews>
  <sheetFormatPr defaultRowHeight="14.4" x14ac:dyDescent="0.3"/>
  <cols>
    <col min="1" max="1" width="12.5546875" bestFit="1" customWidth="1"/>
    <col min="2" max="2" width="14.88671875" bestFit="1" customWidth="1"/>
    <col min="16" max="16" width="9.88671875" bestFit="1" customWidth="1"/>
    <col min="17" max="17" width="10" bestFit="1" customWidth="1"/>
  </cols>
  <sheetData>
    <row r="3" spans="1:17" x14ac:dyDescent="0.3">
      <c r="A3" s="10" t="s">
        <v>167</v>
      </c>
      <c r="B3" t="s">
        <v>169</v>
      </c>
      <c r="P3" s="11" t="s">
        <v>42</v>
      </c>
      <c r="Q3" s="3">
        <v>67180.5</v>
      </c>
    </row>
    <row r="4" spans="1:17" x14ac:dyDescent="0.3">
      <c r="A4" s="11" t="s">
        <v>42</v>
      </c>
      <c r="B4" s="3">
        <v>67180.5</v>
      </c>
      <c r="P4" s="11" t="s">
        <v>58</v>
      </c>
      <c r="Q4" s="3">
        <v>50208.35</v>
      </c>
    </row>
    <row r="5" spans="1:17" x14ac:dyDescent="0.3">
      <c r="A5" s="11" t="s">
        <v>58</v>
      </c>
      <c r="B5" s="3">
        <v>50208.35</v>
      </c>
      <c r="P5" s="11" t="s">
        <v>115</v>
      </c>
      <c r="Q5" s="3">
        <v>50145.330000000009</v>
      </c>
    </row>
    <row r="6" spans="1:17" x14ac:dyDescent="0.3">
      <c r="A6" s="11" t="s">
        <v>115</v>
      </c>
      <c r="B6" s="3">
        <v>50145.330000000009</v>
      </c>
      <c r="P6" s="11" t="s">
        <v>92</v>
      </c>
      <c r="Q6" s="3">
        <v>43713</v>
      </c>
    </row>
    <row r="7" spans="1:17" x14ac:dyDescent="0.3">
      <c r="A7" s="11" t="s">
        <v>92</v>
      </c>
      <c r="B7" s="3">
        <v>43713</v>
      </c>
      <c r="P7" s="11" t="s">
        <v>99</v>
      </c>
      <c r="Q7" s="3">
        <v>41095.01</v>
      </c>
    </row>
    <row r="8" spans="1:17" x14ac:dyDescent="0.3">
      <c r="A8" s="11" t="s">
        <v>99</v>
      </c>
      <c r="B8" s="3">
        <v>41095.01</v>
      </c>
      <c r="P8" s="11" t="s">
        <v>84</v>
      </c>
      <c r="Q8" s="3">
        <v>37428</v>
      </c>
    </row>
    <row r="9" spans="1:17" x14ac:dyDescent="0.3">
      <c r="A9" s="11" t="s">
        <v>84</v>
      </c>
      <c r="B9" s="3">
        <v>37428</v>
      </c>
    </row>
    <row r="10" spans="1:17" x14ac:dyDescent="0.3">
      <c r="A10" s="11" t="s">
        <v>168</v>
      </c>
      <c r="B10" s="3">
        <v>289770.19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zoomScale="74" zoomScaleNormal="74" workbookViewId="0">
      <pane ySplit="1" topLeftCell="A2" activePane="bottomLeft" state="frozen"/>
      <selection pane="bottomLeft" activeCell="C7" sqref="C7"/>
    </sheetView>
  </sheetViews>
  <sheetFormatPr defaultRowHeight="14.4" x14ac:dyDescent="0.3"/>
  <cols>
    <col min="1" max="1" width="10.5546875" customWidth="1"/>
    <col min="2" max="2" width="12" customWidth="1"/>
    <col min="3" max="3" width="14.109375" bestFit="1" customWidth="1"/>
    <col min="4" max="4" width="16.21875" customWidth="1"/>
    <col min="5" max="5" width="14.33203125" bestFit="1" customWidth="1"/>
    <col min="6" max="6" width="12.5546875" bestFit="1" customWidth="1"/>
    <col min="7" max="7" width="6.88671875" customWidth="1"/>
    <col min="8" max="8" width="16" customWidth="1"/>
    <col min="9" max="9" width="15.88671875" customWidth="1"/>
    <col min="10" max="10" width="19.6640625" bestFit="1" customWidth="1"/>
    <col min="11" max="11" width="8.109375" customWidth="1"/>
    <col min="12" max="12" width="13.77734375" customWidth="1"/>
    <col min="13" max="13" width="19.44140625" bestFit="1" customWidth="1"/>
    <col min="14" max="14" width="21.5546875" bestFit="1" customWidth="1"/>
    <col min="15" max="15" width="14.33203125" bestFit="1" customWidth="1"/>
    <col min="16" max="16" width="12.5546875" bestFit="1" customWidth="1"/>
    <col min="17" max="17" width="10.88671875" customWidth="1"/>
    <col min="18" max="18" width="20.109375" customWidth="1"/>
    <col min="19" max="19" width="19.88671875" customWidth="1"/>
    <col min="20" max="20" width="14.5546875" customWidth="1"/>
    <col min="21" max="21" width="21" bestFit="1" customWidth="1"/>
    <col min="22" max="22" width="25" bestFit="1" customWidth="1"/>
    <col min="23" max="23" width="10.6640625" customWidth="1"/>
    <col min="24" max="24" width="9.88671875" customWidth="1"/>
    <col min="25" max="25" width="19.5546875" customWidth="1"/>
    <col min="26" max="26" width="13.10937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EF0C-E115-46A7-B7E0-08CEE29A9E9F}">
  <dimension ref="A3:B9"/>
  <sheetViews>
    <sheetView workbookViewId="0">
      <selection activeCell="H25" sqref="H25"/>
    </sheetView>
  </sheetViews>
  <sheetFormatPr defaultRowHeight="14.4" x14ac:dyDescent="0.3"/>
  <cols>
    <col min="1" max="1" width="12.5546875" bestFit="1" customWidth="1"/>
    <col min="2" max="2" width="14.88671875" bestFit="1" customWidth="1"/>
  </cols>
  <sheetData>
    <row r="3" spans="1:2" x14ac:dyDescent="0.3">
      <c r="A3" s="10" t="s">
        <v>167</v>
      </c>
      <c r="B3" t="s">
        <v>169</v>
      </c>
    </row>
    <row r="4" spans="1:2" x14ac:dyDescent="0.3">
      <c r="A4" s="11" t="s">
        <v>99</v>
      </c>
      <c r="B4" s="3">
        <v>41095.01</v>
      </c>
    </row>
    <row r="5" spans="1:2" x14ac:dyDescent="0.3">
      <c r="A5" s="11" t="s">
        <v>92</v>
      </c>
      <c r="B5" s="3">
        <v>43713</v>
      </c>
    </row>
    <row r="6" spans="1:2" x14ac:dyDescent="0.3">
      <c r="A6" s="11" t="s">
        <v>115</v>
      </c>
      <c r="B6" s="3">
        <v>50145.330000000009</v>
      </c>
    </row>
    <row r="7" spans="1:2" x14ac:dyDescent="0.3">
      <c r="A7" s="11" t="s">
        <v>58</v>
      </c>
      <c r="B7" s="3">
        <v>50208.35</v>
      </c>
    </row>
    <row r="8" spans="1:2" x14ac:dyDescent="0.3">
      <c r="A8" s="11" t="s">
        <v>42</v>
      </c>
      <c r="B8" s="3">
        <v>67180.5</v>
      </c>
    </row>
    <row r="9" spans="1:2" x14ac:dyDescent="0.3">
      <c r="A9" s="11" t="s">
        <v>168</v>
      </c>
      <c r="B9" s="3">
        <v>252342.19000000003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A839E-FAB0-48C2-A14B-2FB0F78FFA88}">
  <dimension ref="A3:E16"/>
  <sheetViews>
    <sheetView zoomScale="70" zoomScaleNormal="70" workbookViewId="0">
      <selection activeCell="V22" sqref="V22"/>
    </sheetView>
  </sheetViews>
  <sheetFormatPr defaultRowHeight="14.4" x14ac:dyDescent="0.3"/>
  <cols>
    <col min="1" max="1" width="13.88671875" bestFit="1" customWidth="1"/>
    <col min="2" max="2" width="15.33203125" bestFit="1" customWidth="1"/>
    <col min="3" max="3" width="8.88671875" customWidth="1"/>
    <col min="4" max="4" width="15.5546875" bestFit="1" customWidth="1"/>
    <col min="5" max="5" width="14.88671875" bestFit="1" customWidth="1"/>
  </cols>
  <sheetData>
    <row r="3" spans="1:5" x14ac:dyDescent="0.3">
      <c r="A3" s="10" t="s">
        <v>167</v>
      </c>
      <c r="B3" t="s">
        <v>169</v>
      </c>
      <c r="D3" s="12" t="s">
        <v>184</v>
      </c>
      <c r="E3" s="12" t="s">
        <v>169</v>
      </c>
    </row>
    <row r="4" spans="1:5" x14ac:dyDescent="0.3">
      <c r="A4" s="11" t="s">
        <v>77</v>
      </c>
      <c r="B4" s="3">
        <v>27005.38</v>
      </c>
      <c r="D4" s="11" t="s">
        <v>77</v>
      </c>
      <c r="E4" s="3">
        <v>27005.38</v>
      </c>
    </row>
    <row r="5" spans="1:5" x14ac:dyDescent="0.3">
      <c r="A5" s="11" t="s">
        <v>69</v>
      </c>
      <c r="B5" s="3">
        <v>16350.5</v>
      </c>
      <c r="D5" s="11" t="s">
        <v>69</v>
      </c>
      <c r="E5" s="3">
        <v>16350.5</v>
      </c>
    </row>
    <row r="6" spans="1:5" x14ac:dyDescent="0.3">
      <c r="A6" s="11" t="s">
        <v>116</v>
      </c>
      <c r="B6" s="3">
        <v>50145.330000000009</v>
      </c>
      <c r="D6" s="11" t="s">
        <v>116</v>
      </c>
      <c r="E6" s="3">
        <v>50145.330000000009</v>
      </c>
    </row>
    <row r="7" spans="1:5" x14ac:dyDescent="0.3">
      <c r="A7" s="11" t="s">
        <v>107</v>
      </c>
      <c r="B7" s="3">
        <v>17204</v>
      </c>
      <c r="D7" s="11" t="s">
        <v>107</v>
      </c>
      <c r="E7" s="3">
        <v>17204</v>
      </c>
    </row>
    <row r="8" spans="1:5" x14ac:dyDescent="0.3">
      <c r="A8" s="11" t="s">
        <v>100</v>
      </c>
      <c r="B8" s="3">
        <v>41095.01</v>
      </c>
      <c r="D8" s="11" t="s">
        <v>100</v>
      </c>
      <c r="E8" s="3">
        <v>41095.01</v>
      </c>
    </row>
    <row r="9" spans="1:5" x14ac:dyDescent="0.3">
      <c r="A9" s="11" t="s">
        <v>29</v>
      </c>
      <c r="B9" s="3">
        <v>15365.5</v>
      </c>
      <c r="D9" s="11" t="s">
        <v>29</v>
      </c>
      <c r="E9" s="3">
        <v>15365.5</v>
      </c>
    </row>
    <row r="10" spans="1:5" x14ac:dyDescent="0.3">
      <c r="A10" s="11" t="s">
        <v>43</v>
      </c>
      <c r="B10" s="3">
        <v>67180.5</v>
      </c>
      <c r="D10" s="11" t="s">
        <v>43</v>
      </c>
      <c r="E10" s="3">
        <v>67180.5</v>
      </c>
    </row>
    <row r="11" spans="1:5" x14ac:dyDescent="0.3">
      <c r="A11" s="11" t="s">
        <v>59</v>
      </c>
      <c r="B11" s="3">
        <v>50208.35</v>
      </c>
      <c r="D11" s="11" t="s">
        <v>59</v>
      </c>
      <c r="E11" s="3">
        <v>50208.35</v>
      </c>
    </row>
    <row r="12" spans="1:5" x14ac:dyDescent="0.3">
      <c r="A12" s="11" t="s">
        <v>93</v>
      </c>
      <c r="B12" s="3">
        <v>43713</v>
      </c>
      <c r="D12" s="11" t="s">
        <v>93</v>
      </c>
      <c r="E12" s="3">
        <v>43713</v>
      </c>
    </row>
    <row r="13" spans="1:5" x14ac:dyDescent="0.3">
      <c r="A13" s="11" t="s">
        <v>128</v>
      </c>
      <c r="B13" s="3">
        <v>32530.6</v>
      </c>
      <c r="D13" s="11" t="s">
        <v>128</v>
      </c>
      <c r="E13" s="3">
        <v>32530.6</v>
      </c>
    </row>
    <row r="14" spans="1:5" x14ac:dyDescent="0.3">
      <c r="A14" s="11" t="s">
        <v>121</v>
      </c>
      <c r="B14" s="3">
        <v>36839.990000000005</v>
      </c>
      <c r="D14" s="11" t="s">
        <v>121</v>
      </c>
      <c r="E14" s="3">
        <v>36839.990000000005</v>
      </c>
    </row>
    <row r="15" spans="1:5" x14ac:dyDescent="0.3">
      <c r="A15" s="11" t="s">
        <v>85</v>
      </c>
      <c r="B15" s="3">
        <v>37428</v>
      </c>
      <c r="D15" s="11" t="s">
        <v>85</v>
      </c>
      <c r="E15" s="3">
        <v>37428</v>
      </c>
    </row>
    <row r="16" spans="1:5" x14ac:dyDescent="0.3">
      <c r="A16" s="11" t="s">
        <v>168</v>
      </c>
      <c r="B16" s="3">
        <v>435066.16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D6CA-BB89-4CC5-8512-F4C495BF1BFF}">
  <dimension ref="A3:B8"/>
  <sheetViews>
    <sheetView workbookViewId="0">
      <selection activeCell="J22" sqref="J22"/>
    </sheetView>
  </sheetViews>
  <sheetFormatPr defaultRowHeight="14.4" x14ac:dyDescent="0.3"/>
  <cols>
    <col min="1" max="1" width="12.5546875" bestFit="1" customWidth="1"/>
    <col min="2" max="2" width="14.88671875" bestFit="1" customWidth="1"/>
  </cols>
  <sheetData>
    <row r="3" spans="1:2" x14ac:dyDescent="0.3">
      <c r="A3" s="10" t="s">
        <v>167</v>
      </c>
      <c r="B3" t="s">
        <v>169</v>
      </c>
    </row>
    <row r="4" spans="1:2" x14ac:dyDescent="0.3">
      <c r="A4" s="11" t="s">
        <v>61</v>
      </c>
      <c r="B4" s="3">
        <v>141680.33999999997</v>
      </c>
    </row>
    <row r="5" spans="1:2" x14ac:dyDescent="0.3">
      <c r="A5" s="11" t="s">
        <v>45</v>
      </c>
      <c r="B5" s="3">
        <v>108275.51</v>
      </c>
    </row>
    <row r="6" spans="1:2" x14ac:dyDescent="0.3">
      <c r="A6" s="11" t="s">
        <v>95</v>
      </c>
      <c r="B6" s="3">
        <v>93858.329999999987</v>
      </c>
    </row>
    <row r="7" spans="1:2" x14ac:dyDescent="0.3">
      <c r="A7" s="11" t="s">
        <v>32</v>
      </c>
      <c r="B7" s="3">
        <v>91251.979999999981</v>
      </c>
    </row>
    <row r="8" spans="1:2" x14ac:dyDescent="0.3">
      <c r="A8" s="11" t="s">
        <v>168</v>
      </c>
      <c r="B8" s="3">
        <v>435066.15999999992</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B0A1-6FB3-44C0-8FEE-431FD4BB2151}">
  <dimension ref="A3:B16"/>
  <sheetViews>
    <sheetView workbookViewId="0">
      <selection activeCell="P15" sqref="P15"/>
    </sheetView>
  </sheetViews>
  <sheetFormatPr defaultRowHeight="14.4" x14ac:dyDescent="0.3"/>
  <cols>
    <col min="1" max="1" width="12.5546875" bestFit="1" customWidth="1"/>
    <col min="2" max="2" width="14.88671875" bestFit="1" customWidth="1"/>
  </cols>
  <sheetData>
    <row r="3" spans="1:2" x14ac:dyDescent="0.3">
      <c r="A3" s="10" t="s">
        <v>167</v>
      </c>
      <c r="B3" t="s">
        <v>169</v>
      </c>
    </row>
    <row r="4" spans="1:2" x14ac:dyDescent="0.3">
      <c r="A4" s="11" t="s">
        <v>181</v>
      </c>
      <c r="B4" s="3">
        <v>66642.78</v>
      </c>
    </row>
    <row r="5" spans="1:2" x14ac:dyDescent="0.3">
      <c r="A5" s="11" t="s">
        <v>180</v>
      </c>
      <c r="B5" s="3">
        <v>31773.429999999997</v>
      </c>
    </row>
    <row r="6" spans="1:2" x14ac:dyDescent="0.3">
      <c r="A6" s="11" t="s">
        <v>179</v>
      </c>
      <c r="B6" s="3">
        <v>53033.59</v>
      </c>
    </row>
    <row r="7" spans="1:2" x14ac:dyDescent="0.3">
      <c r="A7" s="11" t="s">
        <v>178</v>
      </c>
      <c r="B7" s="3">
        <v>31949.97</v>
      </c>
    </row>
    <row r="8" spans="1:2" x14ac:dyDescent="0.3">
      <c r="A8" s="11" t="s">
        <v>177</v>
      </c>
      <c r="B8" s="3">
        <v>29921.459999999995</v>
      </c>
    </row>
    <row r="9" spans="1:2" x14ac:dyDescent="0.3">
      <c r="A9" s="11" t="s">
        <v>176</v>
      </c>
      <c r="B9" s="3">
        <v>27318.539999999997</v>
      </c>
    </row>
    <row r="10" spans="1:2" x14ac:dyDescent="0.3">
      <c r="A10" s="11" t="s">
        <v>175</v>
      </c>
      <c r="B10" s="3">
        <v>55601.61</v>
      </c>
    </row>
    <row r="11" spans="1:2" x14ac:dyDescent="0.3">
      <c r="A11" s="11" t="s">
        <v>174</v>
      </c>
      <c r="B11" s="3">
        <v>34307.049999999996</v>
      </c>
    </row>
    <row r="12" spans="1:2" x14ac:dyDescent="0.3">
      <c r="A12" s="11" t="s">
        <v>173</v>
      </c>
      <c r="B12" s="3">
        <v>20771.789999999997</v>
      </c>
    </row>
    <row r="13" spans="1:2" x14ac:dyDescent="0.3">
      <c r="A13" s="11" t="s">
        <v>172</v>
      </c>
      <c r="B13" s="3">
        <v>30852.6</v>
      </c>
    </row>
    <row r="14" spans="1:2" x14ac:dyDescent="0.3">
      <c r="A14" s="11" t="s">
        <v>171</v>
      </c>
      <c r="B14" s="3">
        <v>19985.5</v>
      </c>
    </row>
    <row r="15" spans="1:2" x14ac:dyDescent="0.3">
      <c r="A15" s="11" t="s">
        <v>170</v>
      </c>
      <c r="B15" s="3">
        <v>32907.839999999997</v>
      </c>
    </row>
    <row r="16" spans="1:2" x14ac:dyDescent="0.3">
      <c r="A16" s="11" t="s">
        <v>168</v>
      </c>
      <c r="B16" s="3">
        <v>435066.15999999992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6422-9B86-4627-AEDD-8BAF8A0644F9}">
  <dimension ref="A3:B14"/>
  <sheetViews>
    <sheetView workbookViewId="0">
      <selection activeCell="K26" sqref="K26"/>
    </sheetView>
  </sheetViews>
  <sheetFormatPr defaultRowHeight="14.4" x14ac:dyDescent="0.3"/>
  <cols>
    <col min="1" max="1" width="12.5546875" bestFit="1" customWidth="1"/>
    <col min="2" max="2" width="14.88671875" bestFit="1" customWidth="1"/>
  </cols>
  <sheetData>
    <row r="3" spans="1:2" x14ac:dyDescent="0.3">
      <c r="A3" s="10" t="s">
        <v>167</v>
      </c>
      <c r="B3" t="s">
        <v>169</v>
      </c>
    </row>
    <row r="4" spans="1:2" x14ac:dyDescent="0.3">
      <c r="A4" s="11" t="s">
        <v>113</v>
      </c>
      <c r="B4" s="3">
        <v>21937.08</v>
      </c>
    </row>
    <row r="5" spans="1:2" x14ac:dyDescent="0.3">
      <c r="A5" s="11" t="s">
        <v>74</v>
      </c>
      <c r="B5" s="3">
        <v>27005.38</v>
      </c>
    </row>
    <row r="6" spans="1:2" x14ac:dyDescent="0.3">
      <c r="A6" s="11" t="s">
        <v>140</v>
      </c>
      <c r="B6" s="3">
        <v>28208.250000000007</v>
      </c>
    </row>
    <row r="7" spans="1:2" x14ac:dyDescent="0.3">
      <c r="A7" s="11" t="s">
        <v>97</v>
      </c>
      <c r="B7" s="3">
        <v>29133.009999999995</v>
      </c>
    </row>
    <row r="8" spans="1:2" x14ac:dyDescent="0.3">
      <c r="A8" s="11" t="s">
        <v>125</v>
      </c>
      <c r="B8" s="3">
        <v>32530.6</v>
      </c>
    </row>
    <row r="9" spans="1:2" x14ac:dyDescent="0.3">
      <c r="A9" s="11" t="s">
        <v>118</v>
      </c>
      <c r="B9" s="3">
        <v>36839.990000000005</v>
      </c>
    </row>
    <row r="10" spans="1:2" x14ac:dyDescent="0.3">
      <c r="A10" s="11" t="s">
        <v>82</v>
      </c>
      <c r="B10" s="3">
        <v>37428</v>
      </c>
    </row>
    <row r="11" spans="1:2" x14ac:dyDescent="0.3">
      <c r="A11" s="11" t="s">
        <v>90</v>
      </c>
      <c r="B11" s="3">
        <v>43713</v>
      </c>
    </row>
    <row r="12" spans="1:2" x14ac:dyDescent="0.3">
      <c r="A12" s="11" t="s">
        <v>56</v>
      </c>
      <c r="B12" s="3">
        <v>50208.35</v>
      </c>
    </row>
    <row r="13" spans="1:2" x14ac:dyDescent="0.3">
      <c r="A13" s="11" t="s">
        <v>40</v>
      </c>
      <c r="B13" s="3">
        <v>67180.5</v>
      </c>
    </row>
    <row r="14" spans="1:2" x14ac:dyDescent="0.3">
      <c r="A14" s="11" t="s">
        <v>168</v>
      </c>
      <c r="B14" s="3">
        <v>374184.16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1515-4A9A-4BD8-819A-587A90DBE60C}">
  <dimension ref="A3:B12"/>
  <sheetViews>
    <sheetView workbookViewId="0">
      <selection activeCell="I23" sqref="I23"/>
    </sheetView>
  </sheetViews>
  <sheetFormatPr defaultRowHeight="14.4" x14ac:dyDescent="0.3"/>
  <cols>
    <col min="1" max="1" width="15.109375" bestFit="1" customWidth="1"/>
    <col min="2" max="2" width="14.88671875" bestFit="1" customWidth="1"/>
  </cols>
  <sheetData>
    <row r="3" spans="1:2" x14ac:dyDescent="0.3">
      <c r="A3" s="10" t="s">
        <v>167</v>
      </c>
      <c r="B3" t="s">
        <v>169</v>
      </c>
    </row>
    <row r="4" spans="1:2" x14ac:dyDescent="0.3">
      <c r="A4" s="11" t="s">
        <v>60</v>
      </c>
      <c r="B4" s="3">
        <v>104252.33999999997</v>
      </c>
    </row>
    <row r="5" spans="1:2" x14ac:dyDescent="0.3">
      <c r="A5" s="11" t="s">
        <v>94</v>
      </c>
      <c r="B5" s="3">
        <v>93858.329999999987</v>
      </c>
    </row>
    <row r="6" spans="1:2" x14ac:dyDescent="0.3">
      <c r="A6" s="11" t="s">
        <v>44</v>
      </c>
      <c r="B6" s="3">
        <v>67180.5</v>
      </c>
    </row>
    <row r="7" spans="1:2" x14ac:dyDescent="0.3">
      <c r="A7" s="11" t="s">
        <v>31</v>
      </c>
      <c r="B7" s="3">
        <v>42370.880000000005</v>
      </c>
    </row>
    <row r="8" spans="1:2" x14ac:dyDescent="0.3">
      <c r="A8" s="11" t="s">
        <v>101</v>
      </c>
      <c r="B8" s="3">
        <v>41095.01</v>
      </c>
    </row>
    <row r="9" spans="1:2" x14ac:dyDescent="0.3">
      <c r="A9" s="11" t="s">
        <v>86</v>
      </c>
      <c r="B9" s="3">
        <v>37428</v>
      </c>
    </row>
    <row r="10" spans="1:2" x14ac:dyDescent="0.3">
      <c r="A10" s="11" t="s">
        <v>129</v>
      </c>
      <c r="B10" s="3">
        <v>32530.6</v>
      </c>
    </row>
    <row r="11" spans="1:2" x14ac:dyDescent="0.3">
      <c r="A11" s="11" t="s">
        <v>70</v>
      </c>
      <c r="B11" s="3">
        <v>16350.5</v>
      </c>
    </row>
    <row r="12" spans="1:2" x14ac:dyDescent="0.3">
      <c r="A12" s="11" t="s">
        <v>168</v>
      </c>
      <c r="B12" s="3">
        <v>435066.15999999992</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4" x14ac:dyDescent="0.3"/>
  <sheetData>
    <row r="19" spans="2:3" x14ac:dyDescent="0.3">
      <c r="B19" s="6" t="s">
        <v>153</v>
      </c>
      <c r="C19" t="s">
        <v>154</v>
      </c>
    </row>
    <row r="20" spans="2:3" x14ac:dyDescent="0.3">
      <c r="B20" s="6" t="s">
        <v>152</v>
      </c>
      <c r="C20" s="5" t="s">
        <v>155</v>
      </c>
    </row>
  </sheetData>
  <hyperlinks>
    <hyperlink ref="C20"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Task</vt:lpstr>
      <vt:lpstr>Full Dashboard</vt:lpstr>
      <vt:lpstr>Dashboard Replication Sketch</vt:lpstr>
      <vt:lpstr>Dashboard Replication</vt:lpstr>
      <vt:lpstr>Recommendations Board</vt:lpstr>
      <vt:lpstr>Post Analysis Board</vt:lpstr>
      <vt:lpstr>In Analysis Board</vt:lpstr>
      <vt:lpstr>Pre Analysis Board</vt:lpstr>
      <vt:lpstr>Dashboard Sketch</vt:lpstr>
      <vt:lpstr>Transaction By Amount</vt:lpstr>
      <vt:lpstr>Sales by Category</vt:lpstr>
      <vt:lpstr>Top Ship Cities</vt:lpstr>
      <vt:lpstr>Data (2)</vt:lpstr>
      <vt:lpstr>Cities Performance</vt:lpstr>
      <vt:lpstr>States performance</vt:lpstr>
      <vt:lpstr>Sales By Region</vt:lpstr>
      <vt:lpstr>Sales Trend</vt:lpstr>
      <vt:lpstr>Top customers</vt:lpstr>
      <vt:lpstr>Sales By Salesperson</vt:lpstr>
      <vt:lpstr>Pivot Table Diagram</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Nzubechi George</cp:lastModifiedBy>
  <dcterms:created xsi:type="dcterms:W3CDTF">2015-01-21T18:43:03Z</dcterms:created>
  <dcterms:modified xsi:type="dcterms:W3CDTF">2026-07-15T18:40:52Z</dcterms:modified>
</cp:coreProperties>
</file>